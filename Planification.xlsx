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il.gammoudi\Documents\GitHub\mon-horaire\"/>
    </mc:Choice>
  </mc:AlternateContent>
  <xr:revisionPtr revIDLastSave="0" documentId="13_ncr:1_{2E927EBA-D642-4316-A865-D07B73BED72D}" xr6:coauthVersionLast="47" xr6:coauthVersionMax="47" xr10:uidLastSave="{00000000-0000-0000-0000-000000000000}"/>
  <bookViews>
    <workbookView xWindow="28680" yWindow="-120" windowWidth="29040" windowHeight="15720" firstSheet="1" activeTab="1" xr2:uid="{EFF68EF8-472A-447C-A619-AFB977E34341}"/>
  </bookViews>
  <sheets>
    <sheet name="Feuil1" sheetId="1" state="hidden" r:id="rId1"/>
    <sheet name="19 octobre 2026 au 22 janvier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7" i="1" l="1"/>
  <c r="G57" i="1" s="1"/>
  <c r="H57" i="1" s="1"/>
  <c r="I57" i="1" s="1"/>
  <c r="J57" i="1" s="1"/>
  <c r="K57" i="1" s="1"/>
  <c r="E58" i="1" s="1"/>
  <c r="F58" i="1" s="1"/>
  <c r="G58" i="1" s="1"/>
  <c r="H58" i="1" s="1"/>
  <c r="I58" i="1" s="1"/>
  <c r="J58" i="1" s="1"/>
  <c r="K58" i="1" s="1"/>
  <c r="E59" i="1" s="1"/>
  <c r="F59" i="1" s="1"/>
  <c r="G59" i="1" s="1"/>
  <c r="H59" i="1" s="1"/>
  <c r="I59" i="1" s="1"/>
  <c r="J59" i="1" s="1"/>
  <c r="K59" i="1" s="1"/>
  <c r="E60" i="1" s="1"/>
  <c r="F60" i="1" s="1"/>
  <c r="G60" i="1" s="1"/>
  <c r="H60" i="1" s="1"/>
  <c r="I60" i="1" s="1"/>
  <c r="J60" i="1" s="1"/>
  <c r="K60" i="1" s="1"/>
  <c r="E61" i="1" s="1"/>
  <c r="F61" i="1" s="1"/>
  <c r="G61" i="1" s="1"/>
  <c r="H61" i="1" s="1"/>
  <c r="I61" i="1" s="1"/>
  <c r="J61" i="1" s="1"/>
  <c r="K61" i="1" s="1"/>
  <c r="E62" i="1" s="1"/>
  <c r="F62" i="1" s="1"/>
  <c r="G62" i="1" s="1"/>
  <c r="H62" i="1" s="1"/>
  <c r="I62" i="1" s="1"/>
  <c r="J62" i="1" s="1"/>
  <c r="K62" i="1" s="1"/>
  <c r="E63" i="1" s="1"/>
  <c r="F63" i="1" s="1"/>
  <c r="G63" i="1" s="1"/>
  <c r="H63" i="1" s="1"/>
  <c r="I63" i="1" s="1"/>
  <c r="J63" i="1" s="1"/>
  <c r="K63" i="1" s="1"/>
  <c r="E64" i="1" s="1"/>
  <c r="F64" i="1" s="1"/>
  <c r="G64" i="1" s="1"/>
  <c r="H64" i="1" s="1"/>
  <c r="I64" i="1" s="1"/>
  <c r="J64" i="1" s="1"/>
  <c r="K64" i="1" s="1"/>
  <c r="E65" i="1" s="1"/>
  <c r="F65" i="1" s="1"/>
  <c r="G65" i="1" s="1"/>
  <c r="H65" i="1" s="1"/>
  <c r="I65" i="1" s="1"/>
  <c r="J65" i="1" s="1"/>
  <c r="K65" i="1" s="1"/>
  <c r="E66" i="1" s="1"/>
  <c r="F66" i="1" s="1"/>
  <c r="G66" i="1" s="1"/>
  <c r="H66" i="1" s="1"/>
  <c r="I66" i="1" s="1"/>
  <c r="J66" i="1" s="1"/>
  <c r="K66" i="1" s="1"/>
  <c r="E67" i="1" s="1"/>
  <c r="F67" i="1" s="1"/>
  <c r="G67" i="1" s="1"/>
  <c r="H67" i="1" s="1"/>
  <c r="I67" i="1" s="1"/>
  <c r="J67" i="1" s="1"/>
  <c r="K67" i="1" s="1"/>
  <c r="E68" i="1" s="1"/>
  <c r="F68" i="1" s="1"/>
  <c r="G68" i="1" s="1"/>
  <c r="H68" i="1" s="1"/>
  <c r="I68" i="1" s="1"/>
  <c r="J68" i="1" s="1"/>
  <c r="K68" i="1" s="1"/>
  <c r="E69" i="1" s="1"/>
  <c r="F69" i="1" s="1"/>
  <c r="G69" i="1" s="1"/>
  <c r="H69" i="1" s="1"/>
  <c r="I69" i="1" s="1"/>
  <c r="J69" i="1" s="1"/>
  <c r="K69" i="1" s="1"/>
  <c r="E70" i="1" s="1"/>
  <c r="F70" i="1" s="1"/>
  <c r="G70" i="1" s="1"/>
  <c r="H70" i="1" s="1"/>
  <c r="I70" i="1" s="1"/>
  <c r="J70" i="1" s="1"/>
  <c r="K70" i="1" s="1"/>
  <c r="E71" i="1" s="1"/>
  <c r="F71" i="1" s="1"/>
  <c r="G71" i="1" s="1"/>
  <c r="H71" i="1" s="1"/>
  <c r="I71" i="1" s="1"/>
  <c r="J71" i="1" s="1"/>
  <c r="K71" i="1" s="1"/>
  <c r="E72" i="1" s="1"/>
  <c r="F72" i="1" s="1"/>
  <c r="G72" i="1" s="1"/>
  <c r="H72" i="1" s="1"/>
  <c r="I72" i="1" s="1"/>
  <c r="J72" i="1" s="1"/>
  <c r="K72" i="1" s="1"/>
  <c r="E73" i="1" s="1"/>
  <c r="F73" i="1" s="1"/>
  <c r="G73" i="1" s="1"/>
  <c r="H73" i="1" s="1"/>
  <c r="I73" i="1" s="1"/>
  <c r="J73" i="1" s="1"/>
  <c r="K73" i="1" s="1"/>
  <c r="E74" i="1" s="1"/>
  <c r="F74" i="1" s="1"/>
  <c r="G74" i="1" s="1"/>
  <c r="H74" i="1" s="1"/>
  <c r="I74" i="1" s="1"/>
  <c r="J74" i="1" s="1"/>
  <c r="K74" i="1" s="1"/>
  <c r="E75" i="1" s="1"/>
  <c r="F75" i="1" s="1"/>
  <c r="G75" i="1" s="1"/>
  <c r="H75" i="1" s="1"/>
  <c r="I75" i="1" s="1"/>
  <c r="J75" i="1" s="1"/>
  <c r="K75" i="1" s="1"/>
  <c r="E76" i="1" s="1"/>
  <c r="F76" i="1" s="1"/>
  <c r="G76" i="1" s="1"/>
  <c r="H76" i="1" s="1"/>
  <c r="I76" i="1" s="1"/>
  <c r="J76" i="1" s="1"/>
  <c r="K76" i="1" s="1"/>
  <c r="E77" i="1" s="1"/>
  <c r="F77" i="1" s="1"/>
  <c r="G77" i="1" s="1"/>
  <c r="H77" i="1" s="1"/>
  <c r="I77" i="1" s="1"/>
  <c r="J77" i="1" s="1"/>
  <c r="K77" i="1" s="1"/>
  <c r="E78" i="1" s="1"/>
  <c r="F78" i="1" s="1"/>
  <c r="G78" i="1" s="1"/>
  <c r="H78" i="1" s="1"/>
  <c r="I78" i="1" s="1"/>
  <c r="J78" i="1" s="1"/>
  <c r="K78" i="1" s="1"/>
  <c r="E79" i="1" s="1"/>
  <c r="F79" i="1" s="1"/>
  <c r="G79" i="1" s="1"/>
  <c r="H79" i="1" s="1"/>
  <c r="I79" i="1" s="1"/>
  <c r="J79" i="1" s="1"/>
  <c r="K79" i="1" s="1"/>
  <c r="E80" i="1" s="1"/>
  <c r="F80" i="1" s="1"/>
  <c r="G80" i="1" s="1"/>
  <c r="H80" i="1" s="1"/>
  <c r="I80" i="1" s="1"/>
  <c r="J80" i="1" s="1"/>
  <c r="K80" i="1" s="1"/>
  <c r="E81" i="1" s="1"/>
  <c r="F81" i="1" s="1"/>
  <c r="G81" i="1" s="1"/>
  <c r="H81" i="1" s="1"/>
  <c r="I81" i="1" s="1"/>
  <c r="J81" i="1" s="1"/>
  <c r="K81" i="1" s="1"/>
  <c r="E82" i="1" s="1"/>
  <c r="F82" i="1" s="1"/>
  <c r="G82" i="1" s="1"/>
  <c r="H82" i="1" s="1"/>
  <c r="I82" i="1" s="1"/>
  <c r="J82" i="1" s="1"/>
  <c r="K82" i="1" s="1"/>
  <c r="E83" i="1" s="1"/>
  <c r="F83" i="1" s="1"/>
  <c r="G83" i="1" s="1"/>
  <c r="H83" i="1" s="1"/>
  <c r="I83" i="1" s="1"/>
  <c r="J83" i="1" s="1"/>
  <c r="K83" i="1" s="1"/>
  <c r="F46" i="1"/>
  <c r="G46" i="1" s="1"/>
  <c r="H46" i="1" s="1"/>
  <c r="I46" i="1" s="1"/>
  <c r="J46" i="1" s="1"/>
  <c r="K46" i="1" s="1"/>
  <c r="E47" i="1" s="1"/>
  <c r="F47" i="1" s="1"/>
  <c r="G47" i="1" s="1"/>
  <c r="H47" i="1" s="1"/>
  <c r="I47" i="1" s="1"/>
  <c r="J47" i="1" s="1"/>
  <c r="K47" i="1" s="1"/>
  <c r="E48" i="1" s="1"/>
  <c r="F48" i="1" s="1"/>
  <c r="G48" i="1" s="1"/>
  <c r="H48" i="1" s="1"/>
  <c r="I48" i="1" s="1"/>
  <c r="J48" i="1" s="1"/>
  <c r="K48" i="1" s="1"/>
  <c r="E49" i="1" s="1"/>
  <c r="F49" i="1" s="1"/>
  <c r="G49" i="1" s="1"/>
  <c r="H49" i="1" s="1"/>
  <c r="I49" i="1" s="1"/>
  <c r="J49" i="1" s="1"/>
  <c r="K49" i="1" s="1"/>
  <c r="E50" i="1" s="1"/>
  <c r="F50" i="1" s="1"/>
  <c r="G50" i="1" s="1"/>
  <c r="H50" i="1" s="1"/>
  <c r="I50" i="1" s="1"/>
  <c r="J50" i="1" s="1"/>
  <c r="K50" i="1" s="1"/>
  <c r="E51" i="1" s="1"/>
  <c r="F51" i="1" s="1"/>
  <c r="G51" i="1" s="1"/>
  <c r="H51" i="1" s="1"/>
  <c r="I51" i="1" s="1"/>
  <c r="J51" i="1" s="1"/>
  <c r="K51" i="1" s="1"/>
  <c r="E52" i="1" s="1"/>
  <c r="F52" i="1" s="1"/>
  <c r="G52" i="1" s="1"/>
  <c r="H52" i="1" s="1"/>
  <c r="I52" i="1" s="1"/>
  <c r="J52" i="1" s="1"/>
  <c r="K52" i="1" s="1"/>
  <c r="E53" i="1" s="1"/>
  <c r="F53" i="1" s="1"/>
  <c r="G53" i="1" s="1"/>
  <c r="H53" i="1" s="1"/>
  <c r="I53" i="1" s="1"/>
  <c r="J53" i="1" s="1"/>
  <c r="K53" i="1" s="1"/>
  <c r="E54" i="1" s="1"/>
  <c r="F54" i="1" s="1"/>
  <c r="G54" i="1" s="1"/>
  <c r="H54" i="1" s="1"/>
  <c r="I54" i="1" s="1"/>
  <c r="J54" i="1" s="1"/>
  <c r="K54" i="1" s="1"/>
  <c r="E55" i="1" s="1"/>
  <c r="F55" i="1" s="1"/>
  <c r="G55" i="1" s="1"/>
  <c r="H55" i="1" s="1"/>
  <c r="I55" i="1" s="1"/>
  <c r="J55" i="1" s="1"/>
  <c r="K55" i="1" s="1"/>
  <c r="E56" i="1" s="1"/>
  <c r="F56" i="1" s="1"/>
  <c r="G56" i="1" s="1"/>
  <c r="H56" i="1" s="1"/>
  <c r="I56" i="1" s="1"/>
  <c r="J56" i="1" s="1"/>
  <c r="K56" i="1" s="1"/>
  <c r="P32" i="1"/>
  <c r="P33" i="1" s="1"/>
  <c r="P34" i="1" s="1"/>
  <c r="F5" i="1"/>
  <c r="G5" i="1" s="1"/>
  <c r="H5" i="1" s="1"/>
  <c r="I5" i="1" s="1"/>
  <c r="J5" i="1" s="1"/>
  <c r="K5" i="1" s="1"/>
  <c r="E6" i="1" s="1"/>
  <c r="F6" i="1" s="1"/>
  <c r="G6" i="1" s="1"/>
  <c r="H6" i="1" s="1"/>
  <c r="I6" i="1" s="1"/>
  <c r="J6" i="1" s="1"/>
  <c r="K6" i="1" s="1"/>
  <c r="E7" i="1" s="1"/>
  <c r="F7" i="1" s="1"/>
  <c r="G7" i="1" s="1"/>
  <c r="H7" i="1" s="1"/>
  <c r="I7" i="1" s="1"/>
  <c r="J7" i="1" s="1"/>
  <c r="K7" i="1" s="1"/>
  <c r="E8" i="1" s="1"/>
  <c r="F8" i="1" s="1"/>
  <c r="G8" i="1" s="1"/>
  <c r="H8" i="1" s="1"/>
  <c r="I8" i="1" s="1"/>
  <c r="J8" i="1" s="1"/>
  <c r="K8" i="1" s="1"/>
  <c r="E9" i="1" s="1"/>
  <c r="F9" i="1" s="1"/>
  <c r="G9" i="1" s="1"/>
  <c r="H9" i="1" s="1"/>
  <c r="I9" i="1" s="1"/>
  <c r="J9" i="1" s="1"/>
  <c r="K9" i="1" s="1"/>
  <c r="E10" i="1" s="1"/>
  <c r="F10" i="1" s="1"/>
  <c r="G10" i="1" s="1"/>
  <c r="H10" i="1" s="1"/>
  <c r="I10" i="1" s="1"/>
  <c r="J10" i="1" s="1"/>
  <c r="K10" i="1" s="1"/>
  <c r="E11" i="1" s="1"/>
  <c r="F11" i="1" s="1"/>
  <c r="G11" i="1" s="1"/>
  <c r="H11" i="1" s="1"/>
  <c r="I11" i="1" s="1"/>
  <c r="J11" i="1" s="1"/>
  <c r="K11" i="1" s="1"/>
  <c r="E12" i="1" s="1"/>
  <c r="F12" i="1" s="1"/>
  <c r="G12" i="1" s="1"/>
  <c r="H12" i="1" s="1"/>
  <c r="I12" i="1" s="1"/>
  <c r="J12" i="1" s="1"/>
  <c r="K12" i="1" s="1"/>
  <c r="E13" i="1" s="1"/>
  <c r="F13" i="1" s="1"/>
  <c r="G13" i="1" s="1"/>
  <c r="H13" i="1" s="1"/>
  <c r="I13" i="1" s="1"/>
  <c r="J13" i="1" s="1"/>
  <c r="K13" i="1" s="1"/>
  <c r="E14" i="1" s="1"/>
  <c r="F14" i="1" s="1"/>
  <c r="G14" i="1" s="1"/>
  <c r="H14" i="1" s="1"/>
  <c r="I14" i="1" s="1"/>
  <c r="J14" i="1" s="1"/>
  <c r="K14" i="1" s="1"/>
  <c r="E15" i="1" s="1"/>
  <c r="F15" i="1" s="1"/>
  <c r="G15" i="1" s="1"/>
  <c r="H15" i="1" s="1"/>
  <c r="I15" i="1" s="1"/>
  <c r="J15" i="1" s="1"/>
  <c r="K15" i="1" s="1"/>
  <c r="Q21" i="1"/>
  <c r="P21" i="1"/>
  <c r="F16" i="1"/>
  <c r="G16" i="1" s="1"/>
  <c r="H16" i="1" s="1"/>
  <c r="I16" i="1" s="1"/>
  <c r="J16" i="1" s="1"/>
  <c r="K16" i="1" s="1"/>
  <c r="E17" i="1" s="1"/>
  <c r="F17" i="1" s="1"/>
  <c r="G17" i="1" s="1"/>
  <c r="H17" i="1" s="1"/>
  <c r="I17" i="1" s="1"/>
  <c r="J17" i="1" s="1"/>
  <c r="K17" i="1" s="1"/>
  <c r="E18" i="1" s="1"/>
  <c r="F18" i="1" s="1"/>
  <c r="G18" i="1" s="1"/>
  <c r="H18" i="1" s="1"/>
  <c r="I18" i="1" s="1"/>
  <c r="J18" i="1" s="1"/>
  <c r="K18" i="1" s="1"/>
  <c r="E19" i="1" s="1"/>
  <c r="F19" i="1" s="1"/>
  <c r="G19" i="1" s="1"/>
  <c r="H19" i="1" s="1"/>
  <c r="I19" i="1" s="1"/>
  <c r="J19" i="1" s="1"/>
  <c r="K19" i="1" s="1"/>
  <c r="E20" i="1" s="1"/>
  <c r="F20" i="1" s="1"/>
  <c r="G20" i="1" s="1"/>
  <c r="H20" i="1" s="1"/>
  <c r="I20" i="1" s="1"/>
  <c r="J20" i="1" s="1"/>
  <c r="K20" i="1" s="1"/>
  <c r="E21" i="1" s="1"/>
  <c r="F21" i="1" s="1"/>
  <c r="G21" i="1" s="1"/>
  <c r="H21" i="1" s="1"/>
  <c r="I21" i="1" s="1"/>
  <c r="J21" i="1" s="1"/>
  <c r="K21" i="1" s="1"/>
  <c r="E22" i="1" s="1"/>
  <c r="F22" i="1" s="1"/>
  <c r="G22" i="1" s="1"/>
  <c r="H22" i="1" s="1"/>
  <c r="I22" i="1" s="1"/>
  <c r="J22" i="1" s="1"/>
  <c r="K22" i="1" s="1"/>
  <c r="E23" i="1" s="1"/>
  <c r="F23" i="1" s="1"/>
  <c r="G23" i="1" s="1"/>
  <c r="H23" i="1" s="1"/>
  <c r="I23" i="1" s="1"/>
  <c r="J23" i="1" s="1"/>
  <c r="K23" i="1" s="1"/>
  <c r="E24" i="1" s="1"/>
  <c r="F24" i="1" s="1"/>
  <c r="G24" i="1" s="1"/>
  <c r="H24" i="1" s="1"/>
  <c r="I24" i="1" s="1"/>
  <c r="J24" i="1" s="1"/>
  <c r="K24" i="1" s="1"/>
  <c r="E25" i="1" s="1"/>
  <c r="F25" i="1" s="1"/>
  <c r="G25" i="1" s="1"/>
  <c r="H25" i="1" s="1"/>
  <c r="I25" i="1" s="1"/>
  <c r="J25" i="1" s="1"/>
  <c r="K25" i="1" s="1"/>
  <c r="E26" i="1" s="1"/>
  <c r="F26" i="1" s="1"/>
  <c r="G26" i="1" s="1"/>
  <c r="H26" i="1" s="1"/>
  <c r="I26" i="1" s="1"/>
  <c r="J26" i="1" s="1"/>
  <c r="K26" i="1" s="1"/>
  <c r="E27" i="1" s="1"/>
  <c r="F27" i="1" s="1"/>
  <c r="G27" i="1" s="1"/>
  <c r="H27" i="1" s="1"/>
  <c r="I27" i="1" s="1"/>
  <c r="J27" i="1" s="1"/>
  <c r="K27" i="1" s="1"/>
  <c r="E28" i="1" s="1"/>
  <c r="F28" i="1" s="1"/>
  <c r="G28" i="1" s="1"/>
  <c r="H28" i="1" s="1"/>
  <c r="I28" i="1" s="1"/>
  <c r="J28" i="1" s="1"/>
  <c r="K28" i="1" s="1"/>
  <c r="E29" i="1" s="1"/>
  <c r="F29" i="1" s="1"/>
  <c r="G29" i="1" s="1"/>
  <c r="H29" i="1" s="1"/>
  <c r="I29" i="1" s="1"/>
  <c r="J29" i="1" s="1"/>
  <c r="K29" i="1" s="1"/>
  <c r="E30" i="1" s="1"/>
  <c r="F30" i="1" s="1"/>
  <c r="G30" i="1" s="1"/>
  <c r="H30" i="1" s="1"/>
  <c r="I30" i="1" s="1"/>
  <c r="J30" i="1" s="1"/>
  <c r="K30" i="1" s="1"/>
  <c r="E31" i="1" s="1"/>
  <c r="F31" i="1" s="1"/>
  <c r="G31" i="1" s="1"/>
  <c r="H31" i="1" s="1"/>
  <c r="I31" i="1" s="1"/>
  <c r="J31" i="1" s="1"/>
  <c r="K31" i="1" s="1"/>
  <c r="E32" i="1" s="1"/>
  <c r="F32" i="1" s="1"/>
  <c r="G32" i="1" s="1"/>
  <c r="H32" i="1" s="1"/>
  <c r="I32" i="1" s="1"/>
  <c r="J32" i="1" s="1"/>
  <c r="K32" i="1" s="1"/>
  <c r="E33" i="1" s="1"/>
  <c r="F33" i="1" s="1"/>
  <c r="G33" i="1" s="1"/>
  <c r="H33" i="1" s="1"/>
  <c r="I33" i="1" s="1"/>
  <c r="J33" i="1" s="1"/>
  <c r="K33" i="1" s="1"/>
  <c r="E34" i="1" s="1"/>
  <c r="F34" i="1" s="1"/>
  <c r="G34" i="1" s="1"/>
  <c r="H34" i="1" s="1"/>
  <c r="I34" i="1" s="1"/>
  <c r="J34" i="1" s="1"/>
  <c r="K34" i="1" s="1"/>
  <c r="E35" i="1" s="1"/>
  <c r="F35" i="1" s="1"/>
  <c r="G35" i="1" s="1"/>
  <c r="H35" i="1" s="1"/>
  <c r="I35" i="1" s="1"/>
  <c r="J35" i="1" s="1"/>
  <c r="K35" i="1" s="1"/>
  <c r="E36" i="1" s="1"/>
  <c r="F36" i="1" s="1"/>
  <c r="G36" i="1" s="1"/>
  <c r="H36" i="1" s="1"/>
  <c r="I36" i="1" s="1"/>
  <c r="J36" i="1" s="1"/>
  <c r="K36" i="1" s="1"/>
  <c r="E37" i="1" s="1"/>
  <c r="F37" i="1" s="1"/>
  <c r="G37" i="1" s="1"/>
  <c r="H37" i="1" s="1"/>
  <c r="I37" i="1" s="1"/>
  <c r="J37" i="1" s="1"/>
  <c r="K37" i="1" s="1"/>
  <c r="E38" i="1" s="1"/>
  <c r="F38" i="1" s="1"/>
  <c r="G38" i="1" s="1"/>
  <c r="H38" i="1" s="1"/>
  <c r="I38" i="1" s="1"/>
  <c r="J38" i="1" s="1"/>
  <c r="K38" i="1" s="1"/>
  <c r="E39" i="1" s="1"/>
  <c r="F39" i="1" s="1"/>
  <c r="G39" i="1" s="1"/>
  <c r="H39" i="1" s="1"/>
  <c r="I39" i="1" s="1"/>
  <c r="J39" i="1" s="1"/>
  <c r="K39" i="1" s="1"/>
  <c r="E40" i="1" s="1"/>
  <c r="F40" i="1" s="1"/>
  <c r="G40" i="1" s="1"/>
  <c r="H40" i="1" s="1"/>
  <c r="I40" i="1" s="1"/>
  <c r="J40" i="1" s="1"/>
  <c r="K40" i="1" s="1"/>
  <c r="E41" i="1" s="1"/>
  <c r="F41" i="1" s="1"/>
  <c r="G41" i="1" s="1"/>
  <c r="H41" i="1" s="1"/>
  <c r="I41" i="1" s="1"/>
  <c r="J41" i="1" s="1"/>
  <c r="K41" i="1" s="1"/>
  <c r="E42" i="1" s="1"/>
  <c r="F42" i="1" s="1"/>
  <c r="G42" i="1" s="1"/>
  <c r="H42" i="1" s="1"/>
  <c r="I42" i="1" s="1"/>
  <c r="J42" i="1" s="1"/>
  <c r="K42" i="1" s="1"/>
</calcChain>
</file>

<file path=xl/sharedStrings.xml><?xml version="1.0" encoding="utf-8"?>
<sst xmlns="http://schemas.openxmlformats.org/spreadsheetml/2006/main" count="299" uniqueCount="139">
  <si>
    <t>Proposition 1</t>
  </si>
  <si>
    <t>420-AC5-RO Système d'exploitation Windows (Gr. 6160)</t>
  </si>
  <si>
    <t>420-B63-RO Scriptage sous Windows avec Powershell  (Gr. 6152)</t>
  </si>
  <si>
    <t>Lundi</t>
  </si>
  <si>
    <t>Mardi</t>
  </si>
  <si>
    <t>Mercredi</t>
  </si>
  <si>
    <t>Jeudi</t>
  </si>
  <si>
    <t>Vendredi</t>
  </si>
  <si>
    <t>Samedi</t>
  </si>
  <si>
    <t>Dimanche</t>
  </si>
  <si>
    <t>Stage</t>
  </si>
  <si>
    <t>420-C73-RO</t>
  </si>
  <si>
    <t>Windows</t>
  </si>
  <si>
    <t>Powershell</t>
  </si>
  <si>
    <t>Proposition 2</t>
  </si>
  <si>
    <t>GESTIONNAIRE DE RÉSEAUX, SÉCURITÉ ET VIRTUALISATION – GROUPE 6160                                                                                                          Session : A26 - Étape 1 :  19 octobre 2026 au 22 janvier 2027</t>
  </si>
  <si>
    <t>12 semaines</t>
  </si>
  <si>
    <t>Vacances : 21 décembre 2026 au 4 janvier 2027</t>
  </si>
  <si>
    <t>Veuillez noter qu'en tout temps des changements peuvent être apportés à cet horaire. Le cas échéant, une nouvelle version vous sera envoyée par courriel. Veuillez consulter vos courriels régulièrement. Merci de votre collaboration !</t>
  </si>
  <si>
    <t>12 oct. 2026</t>
  </si>
  <si>
    <t>13 oct. 2026</t>
  </si>
  <si>
    <t>14 oct. 2026</t>
  </si>
  <si>
    <t>15 oct. 2026</t>
  </si>
  <si>
    <t>16 oct. 2026</t>
  </si>
  <si>
    <t>Semaine d'intégration</t>
  </si>
  <si>
    <t>CONGÉ</t>
  </si>
  <si>
    <t>D-0226</t>
  </si>
  <si>
    <t>19 oct. 2026</t>
  </si>
  <si>
    <t>20 oct. 2026</t>
  </si>
  <si>
    <t>21 oct. 2026</t>
  </si>
  <si>
    <t>22 oct. 2026</t>
  </si>
  <si>
    <t>23 oct. 2026</t>
  </si>
  <si>
    <t>Semaine 1</t>
  </si>
  <si>
    <t>18h10 à 23h</t>
  </si>
  <si>
    <t>420-AC5-RO</t>
  </si>
  <si>
    <t>420-AC4-RO</t>
  </si>
  <si>
    <t>420-AB4-RO</t>
  </si>
  <si>
    <t>Jamil Gammoudi</t>
  </si>
  <si>
    <t>Victor Delia</t>
  </si>
  <si>
    <t>Sébastien Derumière</t>
  </si>
  <si>
    <t>26 oct. 2026</t>
  </si>
  <si>
    <t>27 oct. 2026</t>
  </si>
  <si>
    <t>28 oct. 2026</t>
  </si>
  <si>
    <t>29 oct. 2026</t>
  </si>
  <si>
    <t>30 oct. 2026</t>
  </si>
  <si>
    <t>Semaine 2</t>
  </si>
  <si>
    <t>420-AC3-RO</t>
  </si>
  <si>
    <t>Achraf Moussaid</t>
  </si>
  <si>
    <t>2 nov. 2026</t>
  </si>
  <si>
    <t>3 nov. 2026</t>
  </si>
  <si>
    <t>4 nov. 2026</t>
  </si>
  <si>
    <t>5 nov. 2026</t>
  </si>
  <si>
    <t>6 nov. 2026</t>
  </si>
  <si>
    <t>Semaine 3</t>
  </si>
  <si>
    <t xml:space="preserve">Portes ouvertes </t>
  </si>
  <si>
    <t>9 nov. 2026</t>
  </si>
  <si>
    <t>10 nov. 2026</t>
  </si>
  <si>
    <t>11 nov. 2026</t>
  </si>
  <si>
    <t>13 nov. 2026</t>
  </si>
  <si>
    <t>Semaine 4</t>
  </si>
  <si>
    <t>16 nov. 2026</t>
  </si>
  <si>
    <t>17 nov. 2026</t>
  </si>
  <si>
    <t>18 nov. 2026</t>
  </si>
  <si>
    <t>19 nov. 2026</t>
  </si>
  <si>
    <t>20 nov. 2026</t>
  </si>
  <si>
    <t>Semaine 5</t>
  </si>
  <si>
    <t>23 nov. 2026</t>
  </si>
  <si>
    <t>24 nov. 2026</t>
  </si>
  <si>
    <t>25 nov. 2026</t>
  </si>
  <si>
    <t>26 nov. 2026</t>
  </si>
  <si>
    <t>27 nov. 2026</t>
  </si>
  <si>
    <t>semaine 6</t>
  </si>
  <si>
    <t>30 nov. 2026</t>
  </si>
  <si>
    <t>1 déc. 2026</t>
  </si>
  <si>
    <t>2 déc. 2026</t>
  </si>
  <si>
    <t>3 déc. 2026</t>
  </si>
  <si>
    <t>4 déc. 2026</t>
  </si>
  <si>
    <t>Semaine 7</t>
  </si>
  <si>
    <t>7 déc. 2026</t>
  </si>
  <si>
    <t>8 déc. 2026</t>
  </si>
  <si>
    <t>9 déc. 2026</t>
  </si>
  <si>
    <t>10 déc. 2026</t>
  </si>
  <si>
    <t>11 déc. 2026</t>
  </si>
  <si>
    <t>Semaine 8</t>
  </si>
  <si>
    <t>14 déc. 2026</t>
  </si>
  <si>
    <t>15 déc. 2026</t>
  </si>
  <si>
    <t>16 déc. 2026</t>
  </si>
  <si>
    <t>17 déc. 2026</t>
  </si>
  <si>
    <t>18 déc. 2026</t>
  </si>
  <si>
    <t>Semaine 9</t>
  </si>
  <si>
    <t>21 déc. 2026</t>
  </si>
  <si>
    <t>22 déc. 2026</t>
  </si>
  <si>
    <t>23 déc. 2026</t>
  </si>
  <si>
    <t>24 déc. 2026</t>
  </si>
  <si>
    <t>25 déc. 2026</t>
  </si>
  <si>
    <t>VACANCES</t>
  </si>
  <si>
    <t>28 déc. 2026</t>
  </si>
  <si>
    <t>29 déc. 2026</t>
  </si>
  <si>
    <t>30 déc. 2026</t>
  </si>
  <si>
    <t>31 déc. 2026</t>
  </si>
  <si>
    <t>1 janv. 2027</t>
  </si>
  <si>
    <t>4 janv. 2027</t>
  </si>
  <si>
    <t>5 janv. 2027</t>
  </si>
  <si>
    <t>6 janv. 2027</t>
  </si>
  <si>
    <t>7 janv. 2027</t>
  </si>
  <si>
    <t>8 janv. 2027</t>
  </si>
  <si>
    <t>semaine 10</t>
  </si>
  <si>
    <t>11 janv. 2027</t>
  </si>
  <si>
    <t>12 janv. 2027</t>
  </si>
  <si>
    <t>13 janv. 2027</t>
  </si>
  <si>
    <t>14 janv. 2027</t>
  </si>
  <si>
    <t>15 janv. 2027</t>
  </si>
  <si>
    <t>semaine 11</t>
  </si>
  <si>
    <t>18 janv. 2027</t>
  </si>
  <si>
    <t>19 janv. 2027</t>
  </si>
  <si>
    <t>20 janv. 2027</t>
  </si>
  <si>
    <t>21 janv. 2027</t>
  </si>
  <si>
    <t>22 janv. 2027</t>
  </si>
  <si>
    <t>semaine 12</t>
  </si>
  <si>
    <t>Code de cours</t>
  </si>
  <si>
    <t>Titre du cours</t>
  </si>
  <si>
    <t>Heures</t>
  </si>
  <si>
    <t>Enseignant</t>
  </si>
  <si>
    <t>Date limite de désinscription Date limite d'abandon</t>
  </si>
  <si>
    <t>Système d'exploitation Linux</t>
  </si>
  <si>
    <t>60h</t>
  </si>
  <si>
    <t>Vendredi, lundi</t>
  </si>
  <si>
    <t>Système d’exploitation Windows</t>
  </si>
  <si>
    <t>75h</t>
  </si>
  <si>
    <t>Voir horaire</t>
  </si>
  <si>
    <t>Introduction à la réseautique</t>
  </si>
  <si>
    <t>Lundi, mercredi</t>
  </si>
  <si>
    <t>Installation de matériel et systèmes d’exploitation</t>
  </si>
  <si>
    <t>45h</t>
  </si>
  <si>
    <t>Mise à jour</t>
  </si>
  <si>
    <t>01/10/2026 00:00</t>
  </si>
  <si>
    <t>18h10-22h00</t>
  </si>
  <si>
    <t>420-B63-RO</t>
  </si>
  <si>
    <t>D0622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</si>
</sst>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5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1"/>
      <color rgb="FF000000"/>
      <name val="Calibri"/>
      <family val="2"/>
    </font>
    <font>
      <b/>
      <sz val="11"/>
      <color rgb="FF242424"/>
      <name val="Aptos Narrow"/>
      <family val="2"/>
      <scheme val="minor"/>
    </font>
    <font>
      <sz val="11"/>
      <color rgb="FFDA9694"/>
      <name val="Calibri"/>
      <family val="2"/>
    </font>
    <font>
      <b/>
      <sz val="10"/>
      <color rgb="FF000000"/>
      <name val="Calibri"/>
      <family val="2"/>
    </font>
    <font>
      <sz val="12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A6A6A6"/>
        <bgColor rgb="FF000000"/>
      </patternFill>
    </fill>
  </fills>
  <borders count="24">
    <border>
      <left/>
      <right/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rgb="FF000000"/>
      </bottom>
      <diagonal/>
    </border>
    <border>
      <left style="double">
        <color indexed="64"/>
      </left>
      <right style="double">
        <color indexed="64"/>
      </right>
      <top style="double">
        <color rgb="FF000000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0" fillId="2" borderId="0" xfId="0" applyFill="1"/>
    <xf numFmtId="16" fontId="0" fillId="3" borderId="0" xfId="0" applyNumberFormat="1" applyFill="1" applyAlignment="1">
      <alignment horizontal="center"/>
    </xf>
    <xf numFmtId="16" fontId="0" fillId="2" borderId="0" xfId="0" applyNumberFormat="1" applyFill="1" applyAlignment="1">
      <alignment horizontal="center"/>
    </xf>
    <xf numFmtId="16" fontId="0" fillId="4" borderId="0" xfId="0" applyNumberFormat="1" applyFill="1" applyAlignment="1">
      <alignment horizontal="center"/>
    </xf>
    <xf numFmtId="0" fontId="0" fillId="4" borderId="0" xfId="0" applyFill="1"/>
    <xf numFmtId="0" fontId="0" fillId="5" borderId="0" xfId="0" applyFill="1"/>
    <xf numFmtId="16" fontId="0" fillId="5" borderId="0" xfId="0" applyNumberFormat="1" applyFill="1" applyAlignment="1">
      <alignment horizontal="center"/>
    </xf>
    <xf numFmtId="0" fontId="0" fillId="6" borderId="0" xfId="0" applyFill="1"/>
    <xf numFmtId="0" fontId="0" fillId="3" borderId="0" xfId="0" applyFill="1"/>
    <xf numFmtId="16" fontId="0" fillId="6" borderId="0" xfId="0" applyNumberFormat="1" applyFill="1" applyAlignment="1">
      <alignment horizontal="center"/>
    </xf>
    <xf numFmtId="16" fontId="0" fillId="7" borderId="0" xfId="0" applyNumberFormat="1" applyFill="1" applyAlignment="1">
      <alignment horizontal="center"/>
    </xf>
    <xf numFmtId="0" fontId="2" fillId="0" borderId="0" xfId="0" applyFont="1" applyAlignment="1">
      <alignment horizontal="center"/>
    </xf>
    <xf numFmtId="0" fontId="2" fillId="8" borderId="0" xfId="0" applyFont="1" applyFill="1" applyAlignment="1">
      <alignment horizontal="center"/>
    </xf>
    <xf numFmtId="0" fontId="3" fillId="0" borderId="0" xfId="0" applyFont="1"/>
    <xf numFmtId="0" fontId="7" fillId="10" borderId="6" xfId="0" applyFont="1" applyFill="1" applyBorder="1"/>
    <xf numFmtId="0" fontId="5" fillId="9" borderId="7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/>
    </xf>
    <xf numFmtId="0" fontId="8" fillId="10" borderId="9" xfId="0" applyFont="1" applyFill="1" applyBorder="1" applyAlignment="1">
      <alignment horizontal="center" vertical="center"/>
    </xf>
    <xf numFmtId="0" fontId="9" fillId="10" borderId="11" xfId="0" applyFont="1" applyFill="1" applyBorder="1" applyAlignment="1">
      <alignment horizontal="center" wrapText="1"/>
    </xf>
    <xf numFmtId="0" fontId="5" fillId="9" borderId="12" xfId="0" applyFont="1" applyFill="1" applyBorder="1" applyAlignment="1">
      <alignment horizontal="right" vertical="top"/>
    </xf>
    <xf numFmtId="0" fontId="10" fillId="12" borderId="9" xfId="0" applyFont="1" applyFill="1" applyBorder="1" applyAlignment="1">
      <alignment horizontal="center" vertical="top" wrapText="1"/>
    </xf>
    <xf numFmtId="0" fontId="6" fillId="9" borderId="9" xfId="0" applyFont="1" applyFill="1" applyBorder="1" applyAlignment="1">
      <alignment horizontal="center" vertical="top" wrapText="1"/>
    </xf>
    <xf numFmtId="0" fontId="7" fillId="9" borderId="14" xfId="0" applyFont="1" applyFill="1" applyBorder="1" applyAlignment="1">
      <alignment horizontal="center" vertical="top"/>
    </xf>
    <xf numFmtId="0" fontId="10" fillId="12" borderId="13" xfId="0" applyFont="1" applyFill="1" applyBorder="1" applyAlignment="1">
      <alignment horizontal="center" vertical="top" wrapText="1"/>
    </xf>
    <xf numFmtId="0" fontId="6" fillId="9" borderId="13" xfId="0" applyFont="1" applyFill="1" applyBorder="1" applyAlignment="1">
      <alignment horizontal="center" vertical="top" wrapText="1"/>
    </xf>
    <xf numFmtId="0" fontId="5" fillId="9" borderId="14" xfId="0" applyFont="1" applyFill="1" applyBorder="1" applyAlignment="1">
      <alignment horizontal="right" vertical="top"/>
    </xf>
    <xf numFmtId="0" fontId="9" fillId="10" borderId="11" xfId="0" applyFont="1" applyFill="1" applyBorder="1" applyAlignment="1">
      <alignment horizontal="center"/>
    </xf>
    <xf numFmtId="0" fontId="5" fillId="0" borderId="12" xfId="0" applyFont="1" applyBorder="1" applyAlignment="1">
      <alignment horizontal="right" vertical="top"/>
    </xf>
    <xf numFmtId="0" fontId="5" fillId="13" borderId="9" xfId="0" applyFont="1" applyFill="1" applyBorder="1" applyAlignment="1">
      <alignment horizontal="center" vertical="top" wrapText="1"/>
    </xf>
    <xf numFmtId="0" fontId="7" fillId="0" borderId="14" xfId="0" applyFont="1" applyBorder="1" applyAlignment="1">
      <alignment horizontal="center" vertical="top"/>
    </xf>
    <xf numFmtId="0" fontId="5" fillId="13" borderId="13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9" borderId="9" xfId="0" applyFont="1" applyFill="1" applyBorder="1" applyAlignment="1">
      <alignment horizontal="center" vertical="top" wrapText="1"/>
    </xf>
    <xf numFmtId="0" fontId="5" fillId="9" borderId="13" xfId="0" applyFont="1" applyFill="1" applyBorder="1" applyAlignment="1">
      <alignment horizontal="center" vertical="top" wrapText="1"/>
    </xf>
    <xf numFmtId="0" fontId="12" fillId="0" borderId="0" xfId="0" applyFont="1"/>
    <xf numFmtId="0" fontId="5" fillId="0" borderId="8" xfId="0" applyFont="1" applyBorder="1" applyAlignment="1">
      <alignment horizontal="right" vertical="top"/>
    </xf>
    <xf numFmtId="0" fontId="7" fillId="0" borderId="18" xfId="0" applyFont="1" applyBorder="1" applyAlignment="1">
      <alignment horizontal="center" vertical="top"/>
    </xf>
    <xf numFmtId="0" fontId="5" fillId="0" borderId="18" xfId="0" applyFont="1" applyBorder="1" applyAlignment="1">
      <alignment horizontal="right" vertical="top"/>
    </xf>
    <xf numFmtId="0" fontId="10" fillId="9" borderId="13" xfId="0" applyFont="1" applyFill="1" applyBorder="1" applyAlignment="1">
      <alignment horizontal="center" vertical="top" wrapText="1"/>
    </xf>
    <xf numFmtId="0" fontId="5" fillId="11" borderId="9" xfId="0" applyFont="1" applyFill="1" applyBorder="1" applyAlignment="1">
      <alignment horizontal="center" vertical="top" wrapText="1"/>
    </xf>
    <xf numFmtId="0" fontId="6" fillId="11" borderId="9" xfId="0" applyFont="1" applyFill="1" applyBorder="1" applyAlignment="1">
      <alignment horizontal="center" vertical="top" wrapText="1"/>
    </xf>
    <xf numFmtId="0" fontId="5" fillId="11" borderId="13" xfId="0" applyFont="1" applyFill="1" applyBorder="1" applyAlignment="1">
      <alignment horizontal="center" vertical="top" wrapText="1"/>
    </xf>
    <xf numFmtId="0" fontId="6" fillId="11" borderId="13" xfId="0" applyFont="1" applyFill="1" applyBorder="1" applyAlignment="1">
      <alignment horizontal="center" vertical="top" wrapText="1"/>
    </xf>
    <xf numFmtId="0" fontId="10" fillId="11" borderId="13" xfId="0" applyFont="1" applyFill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/>
    </xf>
    <xf numFmtId="0" fontId="5" fillId="9" borderId="8" xfId="0" applyFont="1" applyFill="1" applyBorder="1" applyAlignment="1">
      <alignment horizontal="right" vertical="top"/>
    </xf>
    <xf numFmtId="0" fontId="7" fillId="9" borderId="18" xfId="0" applyFont="1" applyFill="1" applyBorder="1" applyAlignment="1">
      <alignment horizontal="center" vertical="top"/>
    </xf>
    <xf numFmtId="0" fontId="3" fillId="0" borderId="0" xfId="0" applyFont="1" applyAlignment="1">
      <alignment horizontal="left"/>
    </xf>
    <xf numFmtId="0" fontId="5" fillId="9" borderId="18" xfId="0" applyFont="1" applyFill="1" applyBorder="1" applyAlignment="1">
      <alignment horizontal="right" vertical="top"/>
    </xf>
    <xf numFmtId="0" fontId="8" fillId="10" borderId="10" xfId="0" applyFont="1" applyFill="1" applyBorder="1" applyAlignment="1">
      <alignment horizontal="center" vertical="center"/>
    </xf>
    <xf numFmtId="0" fontId="5" fillId="9" borderId="16" xfId="0" applyFont="1" applyFill="1" applyBorder="1" applyAlignment="1">
      <alignment horizontal="center" vertical="top" wrapText="1"/>
    </xf>
    <xf numFmtId="0" fontId="5" fillId="13" borderId="16" xfId="0" applyFont="1" applyFill="1" applyBorder="1" applyAlignment="1">
      <alignment horizontal="center" vertical="top" wrapText="1"/>
    </xf>
    <xf numFmtId="0" fontId="5" fillId="9" borderId="0" xfId="0" applyFont="1" applyFill="1" applyAlignment="1">
      <alignment horizontal="center" vertical="top"/>
    </xf>
    <xf numFmtId="0" fontId="8" fillId="0" borderId="19" xfId="0" applyFont="1" applyBorder="1" applyAlignment="1">
      <alignment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15" borderId="19" xfId="0" applyFont="1" applyFill="1" applyBorder="1" applyAlignment="1">
      <alignment vertical="center"/>
    </xf>
    <xf numFmtId="0" fontId="13" fillId="15" borderId="19" xfId="0" applyFont="1" applyFill="1" applyBorder="1" applyAlignment="1">
      <alignment horizontal="center" vertical="center"/>
    </xf>
    <xf numFmtId="0" fontId="8" fillId="15" borderId="19" xfId="0" applyFont="1" applyFill="1" applyBorder="1" applyAlignment="1">
      <alignment horizontal="left" vertical="center"/>
    </xf>
    <xf numFmtId="0" fontId="8" fillId="15" borderId="19" xfId="0" applyFont="1" applyFill="1" applyBorder="1" applyAlignment="1">
      <alignment horizontal="center" vertical="center" wrapText="1"/>
    </xf>
    <xf numFmtId="0" fontId="8" fillId="13" borderId="19" xfId="0" applyFont="1" applyFill="1" applyBorder="1" applyAlignment="1">
      <alignment vertical="center"/>
    </xf>
    <xf numFmtId="0" fontId="13" fillId="13" borderId="19" xfId="0" applyFont="1" applyFill="1" applyBorder="1" applyAlignment="1">
      <alignment horizontal="center" vertical="center" wrapText="1"/>
    </xf>
    <xf numFmtId="0" fontId="8" fillId="13" borderId="19" xfId="0" applyFont="1" applyFill="1" applyBorder="1" applyAlignment="1">
      <alignment horizontal="left" vertical="center" wrapText="1"/>
    </xf>
    <xf numFmtId="0" fontId="8" fillId="13" borderId="19" xfId="0" applyFont="1" applyFill="1" applyBorder="1" applyAlignment="1">
      <alignment horizontal="center" vertical="center" wrapText="1"/>
    </xf>
    <xf numFmtId="0" fontId="8" fillId="14" borderId="19" xfId="0" applyFont="1" applyFill="1" applyBorder="1" applyAlignment="1">
      <alignment vertical="center"/>
    </xf>
    <xf numFmtId="0" fontId="13" fillId="14" borderId="19" xfId="0" applyFont="1" applyFill="1" applyBorder="1" applyAlignment="1">
      <alignment horizontal="center" vertical="center" wrapText="1"/>
    </xf>
    <xf numFmtId="0" fontId="8" fillId="14" borderId="19" xfId="0" applyFont="1" applyFill="1" applyBorder="1" applyAlignment="1">
      <alignment horizontal="left" vertical="center"/>
    </xf>
    <xf numFmtId="0" fontId="8" fillId="14" borderId="19" xfId="0" applyFont="1" applyFill="1" applyBorder="1" applyAlignment="1">
      <alignment horizontal="center" vertical="center" wrapText="1"/>
    </xf>
    <xf numFmtId="0" fontId="8" fillId="16" borderId="19" xfId="0" applyFont="1" applyFill="1" applyBorder="1" applyAlignment="1">
      <alignment vertical="center"/>
    </xf>
    <xf numFmtId="0" fontId="13" fillId="16" borderId="19" xfId="0" applyFont="1" applyFill="1" applyBorder="1" applyAlignment="1">
      <alignment horizontal="center" vertical="center" wrapText="1"/>
    </xf>
    <xf numFmtId="0" fontId="8" fillId="16" borderId="19" xfId="0" applyFont="1" applyFill="1" applyBorder="1" applyAlignment="1">
      <alignment horizontal="left" vertical="center" wrapText="1"/>
    </xf>
    <xf numFmtId="0" fontId="14" fillId="0" borderId="0" xfId="0" applyFont="1"/>
    <xf numFmtId="0" fontId="10" fillId="15" borderId="9" xfId="0" applyFont="1" applyFill="1" applyBorder="1" applyAlignment="1">
      <alignment horizontal="center" vertical="top" wrapText="1"/>
    </xf>
    <xf numFmtId="0" fontId="10" fillId="15" borderId="13" xfId="0" applyFont="1" applyFill="1" applyBorder="1" applyAlignment="1">
      <alignment horizontal="center" vertical="top" wrapText="1"/>
    </xf>
    <xf numFmtId="0" fontId="10" fillId="15" borderId="10" xfId="0" applyFont="1" applyFill="1" applyBorder="1" applyAlignment="1">
      <alignment horizontal="center" vertical="top" wrapText="1"/>
    </xf>
    <xf numFmtId="0" fontId="13" fillId="13" borderId="20" xfId="0" applyFont="1" applyFill="1" applyBorder="1" applyAlignment="1">
      <alignment horizontal="left" vertical="center" wrapText="1"/>
    </xf>
    <xf numFmtId="0" fontId="13" fillId="13" borderId="21" xfId="0" applyFont="1" applyFill="1" applyBorder="1" applyAlignment="1">
      <alignment horizontal="left" vertical="center" wrapText="1"/>
    </xf>
    <xf numFmtId="0" fontId="13" fillId="14" borderId="20" xfId="0" applyFont="1" applyFill="1" applyBorder="1" applyAlignment="1">
      <alignment horizontal="left" vertical="center" wrapText="1"/>
    </xf>
    <xf numFmtId="0" fontId="13" fillId="14" borderId="21" xfId="0" applyFont="1" applyFill="1" applyBorder="1" applyAlignment="1">
      <alignment horizontal="left" vertical="center" wrapText="1"/>
    </xf>
    <xf numFmtId="0" fontId="13" fillId="16" borderId="20" xfId="0" applyFont="1" applyFill="1" applyBorder="1" applyAlignment="1">
      <alignment horizontal="left" vertical="center" wrapText="1"/>
    </xf>
    <xf numFmtId="0" fontId="13" fillId="16" borderId="21" xfId="0" applyFont="1" applyFill="1" applyBorder="1" applyAlignment="1">
      <alignment horizontal="left" vertical="center" wrapText="1"/>
    </xf>
    <xf numFmtId="0" fontId="3" fillId="0" borderId="0" xfId="0" applyFont="1"/>
    <xf numFmtId="0" fontId="8" fillId="0" borderId="20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 wrapText="1"/>
    </xf>
    <xf numFmtId="0" fontId="13" fillId="15" borderId="20" xfId="0" applyFont="1" applyFill="1" applyBorder="1" applyAlignment="1">
      <alignment horizontal="left" vertical="center" wrapText="1"/>
    </xf>
    <xf numFmtId="0" fontId="13" fillId="15" borderId="21" xfId="0" applyFont="1" applyFill="1" applyBorder="1" applyAlignment="1">
      <alignment horizontal="left" vertical="center" wrapText="1"/>
    </xf>
    <xf numFmtId="0" fontId="8" fillId="10" borderId="9" xfId="0" applyFont="1" applyFill="1" applyBorder="1" applyAlignment="1">
      <alignment horizontal="center" vertical="center"/>
    </xf>
    <xf numFmtId="0" fontId="8" fillId="10" borderId="10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right" vertical="top"/>
    </xf>
    <xf numFmtId="0" fontId="5" fillId="9" borderId="13" xfId="0" applyFont="1" applyFill="1" applyBorder="1" applyAlignment="1">
      <alignment horizontal="right" vertical="top"/>
    </xf>
    <xf numFmtId="0" fontId="5" fillId="9" borderId="10" xfId="0" applyFont="1" applyFill="1" applyBorder="1" applyAlignment="1">
      <alignment horizontal="right" vertical="top"/>
    </xf>
    <xf numFmtId="0" fontId="8" fillId="10" borderId="17" xfId="0" applyFont="1" applyFill="1" applyBorder="1" applyAlignment="1">
      <alignment horizontal="center" vertical="center"/>
    </xf>
    <xf numFmtId="0" fontId="5" fillId="17" borderId="9" xfId="0" applyFont="1" applyFill="1" applyBorder="1" applyAlignment="1">
      <alignment horizontal="center" vertical="center" wrapText="1"/>
    </xf>
    <xf numFmtId="0" fontId="5" fillId="17" borderId="13" xfId="0" applyFont="1" applyFill="1" applyBorder="1" applyAlignment="1">
      <alignment horizontal="center" vertical="center" wrapText="1"/>
    </xf>
    <xf numFmtId="0" fontId="5" fillId="17" borderId="10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11" borderId="13" xfId="0" applyFont="1" applyFill="1" applyBorder="1" applyAlignment="1">
      <alignment horizontal="center" vertical="center" wrapText="1"/>
    </xf>
    <xf numFmtId="0" fontId="5" fillId="11" borderId="10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6" fillId="9" borderId="22" xfId="0" applyFont="1" applyFill="1" applyBorder="1" applyAlignment="1">
      <alignment horizontal="center" vertical="center" wrapText="1"/>
    </xf>
    <xf numFmtId="0" fontId="6" fillId="9" borderId="23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/>
    </xf>
    <xf numFmtId="0" fontId="0" fillId="6" borderId="0" xfId="0" applyFill="1" applyAlignment="1">
      <alignment horizontal="left"/>
    </xf>
    <xf numFmtId="0" fontId="0" fillId="5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2EB1-66EC-46D1-A196-F82A5E690C43}">
  <dimension ref="A1:Q83"/>
  <sheetViews>
    <sheetView topLeftCell="E1" workbookViewId="0">
      <selection activeCell="V31" sqref="V31"/>
    </sheetView>
  </sheetViews>
  <sheetFormatPr baseColWidth="10" defaultColWidth="11.42578125" defaultRowHeight="15" x14ac:dyDescent="0.25"/>
  <cols>
    <col min="1" max="2" width="0" hidden="1" customWidth="1"/>
    <col min="3" max="3" width="3" hidden="1" customWidth="1"/>
    <col min="4" max="4" width="0" hidden="1" customWidth="1"/>
    <col min="10" max="11" width="0" hidden="1" customWidth="1"/>
    <col min="12" max="12" width="11.140625" hidden="1" customWidth="1"/>
    <col min="13" max="13" width="0" hidden="1" customWidth="1"/>
  </cols>
  <sheetData>
    <row r="1" spans="5:13" x14ac:dyDescent="0.25">
      <c r="E1" s="113" t="s">
        <v>0</v>
      </c>
      <c r="F1" s="113"/>
      <c r="G1" s="113"/>
      <c r="H1" s="113"/>
      <c r="I1" s="113"/>
      <c r="J1" s="113"/>
    </row>
    <row r="2" spans="5:13" x14ac:dyDescent="0.25">
      <c r="E2" s="114" t="s">
        <v>1</v>
      </c>
      <c r="F2" s="114"/>
      <c r="G2" s="114"/>
      <c r="H2" s="114"/>
      <c r="I2" s="114"/>
      <c r="J2" s="15"/>
    </row>
    <row r="3" spans="5:13" x14ac:dyDescent="0.25">
      <c r="E3" s="115" t="s">
        <v>2</v>
      </c>
      <c r="F3" s="115"/>
      <c r="G3" s="115"/>
      <c r="H3" s="115"/>
      <c r="I3" s="115"/>
    </row>
    <row r="4" spans="5:13" x14ac:dyDescent="0.25">
      <c r="E4" s="14" t="s">
        <v>3</v>
      </c>
      <c r="F4" s="14" t="s">
        <v>4</v>
      </c>
      <c r="G4" s="14" t="s">
        <v>5</v>
      </c>
      <c r="H4" s="14" t="s">
        <v>6</v>
      </c>
      <c r="I4" s="14" t="s">
        <v>7</v>
      </c>
      <c r="J4" s="14" t="s">
        <v>8</v>
      </c>
      <c r="K4" s="14" t="s">
        <v>9</v>
      </c>
    </row>
    <row r="5" spans="5:13" hidden="1" x14ac:dyDescent="0.25">
      <c r="E5" s="2">
        <v>46160</v>
      </c>
      <c r="F5" s="2">
        <f>E5+1</f>
        <v>46161</v>
      </c>
      <c r="G5" s="2">
        <f t="shared" ref="G5:K7" si="0">F5+1</f>
        <v>46162</v>
      </c>
      <c r="H5" s="2">
        <f t="shared" si="0"/>
        <v>46163</v>
      </c>
      <c r="I5" s="6">
        <f t="shared" si="0"/>
        <v>46164</v>
      </c>
      <c r="J5" s="2">
        <f t="shared" si="0"/>
        <v>46165</v>
      </c>
      <c r="K5" s="2">
        <f t="shared" si="0"/>
        <v>46166</v>
      </c>
      <c r="L5" s="7" t="s">
        <v>10</v>
      </c>
    </row>
    <row r="6" spans="5:13" hidden="1" x14ac:dyDescent="0.25">
      <c r="E6" s="2">
        <f>K5+1</f>
        <v>46167</v>
      </c>
      <c r="F6" s="2">
        <f>E6+1</f>
        <v>46168</v>
      </c>
      <c r="G6" s="2">
        <f t="shared" si="0"/>
        <v>46169</v>
      </c>
      <c r="H6" s="2">
        <f t="shared" si="0"/>
        <v>46170</v>
      </c>
      <c r="I6" s="6">
        <f t="shared" si="0"/>
        <v>46171</v>
      </c>
      <c r="J6" s="2">
        <f t="shared" si="0"/>
        <v>46172</v>
      </c>
      <c r="K6" s="2">
        <f t="shared" si="0"/>
        <v>46173</v>
      </c>
      <c r="L6" s="7"/>
    </row>
    <row r="7" spans="5:13" hidden="1" x14ac:dyDescent="0.25">
      <c r="E7" s="2">
        <f>K6+1</f>
        <v>46174</v>
      </c>
      <c r="F7" s="2">
        <f>E7+1</f>
        <v>46175</v>
      </c>
      <c r="G7" s="2">
        <f t="shared" si="0"/>
        <v>46176</v>
      </c>
      <c r="H7" s="2">
        <f t="shared" si="0"/>
        <v>46177</v>
      </c>
      <c r="I7" s="6">
        <f t="shared" si="0"/>
        <v>46178</v>
      </c>
      <c r="J7" s="2">
        <f t="shared" si="0"/>
        <v>46179</v>
      </c>
      <c r="K7" s="2">
        <f t="shared" si="0"/>
        <v>46180</v>
      </c>
      <c r="L7" s="7"/>
    </row>
    <row r="8" spans="5:13" hidden="1" x14ac:dyDescent="0.25">
      <c r="E8" s="2">
        <f t="shared" ref="E8:E10" si="1">K7+1</f>
        <v>46181</v>
      </c>
      <c r="F8" s="2">
        <f t="shared" ref="F8:K8" si="2">E8+1</f>
        <v>46182</v>
      </c>
      <c r="G8" s="13">
        <f t="shared" si="2"/>
        <v>46183</v>
      </c>
      <c r="H8" s="2">
        <f t="shared" si="2"/>
        <v>46184</v>
      </c>
      <c r="I8" s="6">
        <f t="shared" si="2"/>
        <v>46185</v>
      </c>
      <c r="J8" s="2">
        <f t="shared" si="2"/>
        <v>46186</v>
      </c>
      <c r="K8" s="2">
        <f t="shared" si="2"/>
        <v>46187</v>
      </c>
      <c r="L8" s="7"/>
    </row>
    <row r="9" spans="5:13" hidden="1" x14ac:dyDescent="0.25">
      <c r="E9" s="2">
        <f t="shared" si="1"/>
        <v>46188</v>
      </c>
      <c r="F9" s="2">
        <f t="shared" ref="F9:K9" si="3">E9+1</f>
        <v>46189</v>
      </c>
      <c r="G9" s="13">
        <f t="shared" si="3"/>
        <v>46190</v>
      </c>
      <c r="H9" s="2">
        <f t="shared" si="3"/>
        <v>46191</v>
      </c>
      <c r="I9" s="6">
        <f t="shared" si="3"/>
        <v>46192</v>
      </c>
      <c r="J9" s="2">
        <f t="shared" si="3"/>
        <v>46193</v>
      </c>
      <c r="K9" s="2">
        <f t="shared" si="3"/>
        <v>46194</v>
      </c>
      <c r="L9" s="7"/>
    </row>
    <row r="10" spans="5:13" hidden="1" x14ac:dyDescent="0.25">
      <c r="E10" s="2">
        <f t="shared" si="1"/>
        <v>46195</v>
      </c>
      <c r="F10" s="2">
        <f t="shared" ref="F10:K10" si="4">E10+1</f>
        <v>46196</v>
      </c>
      <c r="G10" s="2">
        <f t="shared" si="4"/>
        <v>46197</v>
      </c>
      <c r="H10" s="2">
        <f t="shared" si="4"/>
        <v>46198</v>
      </c>
      <c r="I10" s="13">
        <f t="shared" si="4"/>
        <v>46199</v>
      </c>
      <c r="J10" s="2">
        <f t="shared" si="4"/>
        <v>46200</v>
      </c>
      <c r="K10" s="2">
        <f t="shared" si="4"/>
        <v>46201</v>
      </c>
      <c r="L10" s="7"/>
    </row>
    <row r="11" spans="5:13" hidden="1" x14ac:dyDescent="0.25">
      <c r="E11" s="2">
        <f t="shared" ref="E11:E15" si="5">K10+1</f>
        <v>46202</v>
      </c>
      <c r="F11" s="2">
        <f t="shared" ref="F11:K11" si="6">E11+1</f>
        <v>46203</v>
      </c>
      <c r="G11" s="2">
        <f t="shared" si="6"/>
        <v>46204</v>
      </c>
      <c r="H11" s="13">
        <f t="shared" si="6"/>
        <v>46205</v>
      </c>
      <c r="I11" s="6">
        <f t="shared" si="6"/>
        <v>46206</v>
      </c>
      <c r="J11" s="2">
        <f t="shared" si="6"/>
        <v>46207</v>
      </c>
      <c r="K11" s="2">
        <f t="shared" si="6"/>
        <v>46208</v>
      </c>
      <c r="L11" s="7"/>
    </row>
    <row r="12" spans="5:13" hidden="1" x14ac:dyDescent="0.25">
      <c r="E12" s="2">
        <f t="shared" si="5"/>
        <v>46209</v>
      </c>
      <c r="F12" s="2">
        <f t="shared" ref="F12:K12" si="7">E12+1</f>
        <v>46210</v>
      </c>
      <c r="G12" s="13">
        <f t="shared" si="7"/>
        <v>46211</v>
      </c>
      <c r="H12" s="2">
        <f t="shared" si="7"/>
        <v>46212</v>
      </c>
      <c r="I12" s="6">
        <f t="shared" si="7"/>
        <v>46213</v>
      </c>
      <c r="J12" s="2">
        <f t="shared" si="7"/>
        <v>46214</v>
      </c>
      <c r="K12" s="2">
        <f t="shared" si="7"/>
        <v>46215</v>
      </c>
      <c r="L12" s="7"/>
    </row>
    <row r="13" spans="5:13" hidden="1" x14ac:dyDescent="0.25">
      <c r="E13" s="2">
        <f t="shared" si="5"/>
        <v>46216</v>
      </c>
      <c r="F13" s="2">
        <f t="shared" ref="F13:K13" si="8">E13+1</f>
        <v>46217</v>
      </c>
      <c r="G13" s="2">
        <f t="shared" si="8"/>
        <v>46218</v>
      </c>
      <c r="H13" s="2">
        <f t="shared" si="8"/>
        <v>46219</v>
      </c>
      <c r="I13" s="6">
        <f t="shared" si="8"/>
        <v>46220</v>
      </c>
      <c r="J13" s="2">
        <f t="shared" si="8"/>
        <v>46221</v>
      </c>
      <c r="K13" s="2">
        <f t="shared" si="8"/>
        <v>46222</v>
      </c>
      <c r="L13" s="7"/>
    </row>
    <row r="14" spans="5:13" hidden="1" x14ac:dyDescent="0.25">
      <c r="E14" s="4">
        <f t="shared" si="5"/>
        <v>46223</v>
      </c>
      <c r="F14" s="4">
        <f t="shared" ref="F14:K14" si="9">E14+1</f>
        <v>46224</v>
      </c>
      <c r="G14" s="4">
        <f t="shared" si="9"/>
        <v>46225</v>
      </c>
      <c r="H14" s="4">
        <f t="shared" si="9"/>
        <v>46226</v>
      </c>
      <c r="I14" s="4">
        <f t="shared" si="9"/>
        <v>46227</v>
      </c>
      <c r="J14" s="4">
        <f t="shared" si="9"/>
        <v>46228</v>
      </c>
      <c r="K14" s="4">
        <f t="shared" si="9"/>
        <v>46229</v>
      </c>
    </row>
    <row r="15" spans="5:13" hidden="1" x14ac:dyDescent="0.25">
      <c r="E15" s="4">
        <f t="shared" si="5"/>
        <v>46230</v>
      </c>
      <c r="F15" s="4">
        <f t="shared" ref="F15:K15" si="10">E15+1</f>
        <v>46231</v>
      </c>
      <c r="G15" s="4">
        <f t="shared" si="10"/>
        <v>46232</v>
      </c>
      <c r="H15" s="4">
        <f t="shared" si="10"/>
        <v>46233</v>
      </c>
      <c r="I15" s="4">
        <f t="shared" si="10"/>
        <v>46234</v>
      </c>
      <c r="J15" s="4">
        <f t="shared" si="10"/>
        <v>46235</v>
      </c>
      <c r="K15" s="4">
        <f t="shared" si="10"/>
        <v>46236</v>
      </c>
    </row>
    <row r="16" spans="5:13" hidden="1" x14ac:dyDescent="0.25">
      <c r="E16" s="2">
        <v>46237</v>
      </c>
      <c r="F16" s="2">
        <f>E16+1</f>
        <v>46238</v>
      </c>
      <c r="G16" s="2">
        <f t="shared" ref="G16:K17" si="11">F16+1</f>
        <v>46239</v>
      </c>
      <c r="H16" s="2">
        <f t="shared" si="11"/>
        <v>46240</v>
      </c>
      <c r="I16" s="5">
        <f t="shared" si="11"/>
        <v>46241</v>
      </c>
      <c r="J16" s="2">
        <f t="shared" si="11"/>
        <v>46242</v>
      </c>
      <c r="K16" s="2">
        <f t="shared" si="11"/>
        <v>46243</v>
      </c>
      <c r="L16" s="3" t="s">
        <v>11</v>
      </c>
      <c r="M16">
        <v>1</v>
      </c>
    </row>
    <row r="17" spans="1:17" hidden="1" x14ac:dyDescent="0.25">
      <c r="E17" s="2">
        <f>K16+1</f>
        <v>46244</v>
      </c>
      <c r="F17" s="2">
        <f>E17+1</f>
        <v>46245</v>
      </c>
      <c r="G17" s="2">
        <f t="shared" si="11"/>
        <v>46246</v>
      </c>
      <c r="H17" s="2">
        <f t="shared" si="11"/>
        <v>46247</v>
      </c>
      <c r="I17" s="5">
        <f t="shared" si="11"/>
        <v>46248</v>
      </c>
      <c r="J17" s="2">
        <f t="shared" si="11"/>
        <v>46249</v>
      </c>
      <c r="K17" s="2">
        <f t="shared" si="11"/>
        <v>46250</v>
      </c>
      <c r="L17" s="3" t="s">
        <v>11</v>
      </c>
      <c r="M17">
        <v>2</v>
      </c>
    </row>
    <row r="18" spans="1:17" hidden="1" x14ac:dyDescent="0.25">
      <c r="E18" s="2">
        <f t="shared" ref="E18:E31" si="12">K17+1</f>
        <v>46251</v>
      </c>
      <c r="F18" s="2">
        <f t="shared" ref="F18:K18" si="13">E18+1</f>
        <v>46252</v>
      </c>
      <c r="G18" s="2">
        <f t="shared" si="13"/>
        <v>46253</v>
      </c>
      <c r="H18" s="2">
        <f t="shared" si="13"/>
        <v>46254</v>
      </c>
      <c r="I18" s="5">
        <f t="shared" si="13"/>
        <v>46255</v>
      </c>
      <c r="J18" s="2">
        <f t="shared" si="13"/>
        <v>46256</v>
      </c>
      <c r="K18" s="2">
        <f t="shared" si="13"/>
        <v>46257</v>
      </c>
      <c r="L18" s="3" t="s">
        <v>11</v>
      </c>
      <c r="M18">
        <v>3</v>
      </c>
    </row>
    <row r="19" spans="1:17" hidden="1" x14ac:dyDescent="0.25">
      <c r="E19" s="2">
        <f t="shared" si="12"/>
        <v>46258</v>
      </c>
      <c r="F19" s="2">
        <f t="shared" ref="F19:K19" si="14">E19+1</f>
        <v>46259</v>
      </c>
      <c r="G19" s="2">
        <f t="shared" si="14"/>
        <v>46260</v>
      </c>
      <c r="H19" s="2">
        <f t="shared" si="14"/>
        <v>46261</v>
      </c>
      <c r="I19" s="5">
        <f t="shared" si="14"/>
        <v>46262</v>
      </c>
      <c r="J19" s="2">
        <f t="shared" si="14"/>
        <v>46263</v>
      </c>
      <c r="K19" s="2">
        <f t="shared" si="14"/>
        <v>46264</v>
      </c>
      <c r="L19" s="3" t="s">
        <v>11</v>
      </c>
      <c r="M19">
        <v>4</v>
      </c>
    </row>
    <row r="20" spans="1:17" hidden="1" x14ac:dyDescent="0.25">
      <c r="E20" s="2">
        <f t="shared" si="12"/>
        <v>46265</v>
      </c>
      <c r="F20" s="2">
        <f t="shared" ref="F20:K20" si="15">E20+1</f>
        <v>46266</v>
      </c>
      <c r="G20" s="2">
        <f t="shared" si="15"/>
        <v>46267</v>
      </c>
      <c r="H20" s="2">
        <f t="shared" si="15"/>
        <v>46268</v>
      </c>
      <c r="I20" s="5">
        <f t="shared" si="15"/>
        <v>46269</v>
      </c>
      <c r="J20" s="2">
        <f t="shared" si="15"/>
        <v>46270</v>
      </c>
      <c r="K20" s="2">
        <f t="shared" si="15"/>
        <v>46271</v>
      </c>
      <c r="L20" s="3" t="s">
        <v>11</v>
      </c>
      <c r="M20">
        <v>5</v>
      </c>
    </row>
    <row r="21" spans="1:17" hidden="1" x14ac:dyDescent="0.25">
      <c r="E21" s="4">
        <f t="shared" si="12"/>
        <v>46272</v>
      </c>
      <c r="F21" s="2">
        <f t="shared" ref="F21:K21" si="16">E21+1</f>
        <v>46273</v>
      </c>
      <c r="G21" s="2">
        <f t="shared" si="16"/>
        <v>46274</v>
      </c>
      <c r="H21" s="2">
        <f t="shared" si="16"/>
        <v>46275</v>
      </c>
      <c r="I21" s="5">
        <f t="shared" si="16"/>
        <v>46276</v>
      </c>
      <c r="J21" s="2">
        <f t="shared" si="16"/>
        <v>46277</v>
      </c>
      <c r="K21" s="2">
        <f t="shared" si="16"/>
        <v>46278</v>
      </c>
      <c r="L21" s="3" t="s">
        <v>11</v>
      </c>
      <c r="M21">
        <v>6</v>
      </c>
      <c r="P21">
        <f>45/4</f>
        <v>11.25</v>
      </c>
      <c r="Q21">
        <f>4*10</f>
        <v>40</v>
      </c>
    </row>
    <row r="22" spans="1:17" hidden="1" x14ac:dyDescent="0.25">
      <c r="E22" s="2">
        <f t="shared" si="12"/>
        <v>46279</v>
      </c>
      <c r="F22" s="2">
        <f t="shared" ref="F22:K22" si="17">E22+1</f>
        <v>46280</v>
      </c>
      <c r="G22" s="2">
        <f t="shared" si="17"/>
        <v>46281</v>
      </c>
      <c r="H22" s="2">
        <f t="shared" si="17"/>
        <v>46282</v>
      </c>
      <c r="I22" s="5">
        <f t="shared" si="17"/>
        <v>46283</v>
      </c>
      <c r="J22" s="2">
        <f t="shared" si="17"/>
        <v>46284</v>
      </c>
      <c r="K22" s="2">
        <f t="shared" si="17"/>
        <v>46285</v>
      </c>
      <c r="L22" s="3" t="s">
        <v>11</v>
      </c>
      <c r="M22">
        <v>7</v>
      </c>
    </row>
    <row r="23" spans="1:17" hidden="1" x14ac:dyDescent="0.25">
      <c r="E23" s="2">
        <f t="shared" si="12"/>
        <v>46286</v>
      </c>
      <c r="F23" s="2">
        <f t="shared" ref="F23:K23" si="18">E23+1</f>
        <v>46287</v>
      </c>
      <c r="G23" s="2">
        <f t="shared" si="18"/>
        <v>46288</v>
      </c>
      <c r="H23" s="2">
        <f t="shared" si="18"/>
        <v>46289</v>
      </c>
      <c r="I23" s="5">
        <f t="shared" si="18"/>
        <v>46290</v>
      </c>
      <c r="J23" s="2">
        <f t="shared" si="18"/>
        <v>46291</v>
      </c>
      <c r="K23" s="2">
        <f t="shared" si="18"/>
        <v>46292</v>
      </c>
      <c r="L23" s="3" t="s">
        <v>11</v>
      </c>
      <c r="M23">
        <v>8</v>
      </c>
    </row>
    <row r="24" spans="1:17" hidden="1" x14ac:dyDescent="0.25">
      <c r="E24" s="2">
        <f t="shared" si="12"/>
        <v>46293</v>
      </c>
      <c r="F24" s="2">
        <f t="shared" ref="F24:K24" si="19">E24+1</f>
        <v>46294</v>
      </c>
      <c r="G24" s="2">
        <f t="shared" si="19"/>
        <v>46295</v>
      </c>
      <c r="H24" s="2">
        <f t="shared" si="19"/>
        <v>46296</v>
      </c>
      <c r="I24" s="5">
        <f t="shared" si="19"/>
        <v>46297</v>
      </c>
      <c r="J24" s="2">
        <f t="shared" si="19"/>
        <v>46298</v>
      </c>
      <c r="K24" s="2">
        <f t="shared" si="19"/>
        <v>46299</v>
      </c>
      <c r="L24" s="3" t="s">
        <v>11</v>
      </c>
      <c r="M24">
        <v>9</v>
      </c>
    </row>
    <row r="25" spans="1:17" hidden="1" x14ac:dyDescent="0.25">
      <c r="E25" s="2">
        <f t="shared" si="12"/>
        <v>46300</v>
      </c>
      <c r="F25" s="2">
        <f t="shared" ref="F25:K25" si="20">E25+1</f>
        <v>46301</v>
      </c>
      <c r="G25" s="2">
        <f t="shared" si="20"/>
        <v>46302</v>
      </c>
      <c r="H25" s="2">
        <f t="shared" si="20"/>
        <v>46303</v>
      </c>
      <c r="I25" s="5">
        <f t="shared" si="20"/>
        <v>46304</v>
      </c>
      <c r="J25" s="2">
        <f t="shared" si="20"/>
        <v>46305</v>
      </c>
      <c r="K25" s="2">
        <f t="shared" si="20"/>
        <v>46306</v>
      </c>
      <c r="L25" s="3" t="s">
        <v>11</v>
      </c>
      <c r="M25">
        <v>10</v>
      </c>
    </row>
    <row r="26" spans="1:17" hidden="1" x14ac:dyDescent="0.25">
      <c r="E26" s="4">
        <f t="shared" si="12"/>
        <v>46307</v>
      </c>
      <c r="F26" s="2">
        <f t="shared" ref="F26:K26" si="21">E26+1</f>
        <v>46308</v>
      </c>
      <c r="G26" s="2">
        <f t="shared" si="21"/>
        <v>46309</v>
      </c>
      <c r="H26" s="2">
        <f t="shared" si="21"/>
        <v>46310</v>
      </c>
      <c r="I26" s="5">
        <f t="shared" si="21"/>
        <v>46311</v>
      </c>
      <c r="J26" s="2">
        <f t="shared" si="21"/>
        <v>46312</v>
      </c>
      <c r="K26" s="2">
        <f t="shared" si="21"/>
        <v>46313</v>
      </c>
      <c r="L26" s="3" t="s">
        <v>11</v>
      </c>
      <c r="M26">
        <v>11</v>
      </c>
    </row>
    <row r="27" spans="1:17" x14ac:dyDescent="0.25">
      <c r="A27" s="1">
        <v>1</v>
      </c>
      <c r="B27" s="10" t="s">
        <v>12</v>
      </c>
      <c r="E27" s="2">
        <f t="shared" si="12"/>
        <v>46314</v>
      </c>
      <c r="F27" s="12">
        <f t="shared" ref="F27:K27" si="22">E27+1</f>
        <v>46315</v>
      </c>
      <c r="G27" s="2">
        <f t="shared" si="22"/>
        <v>46316</v>
      </c>
      <c r="H27" s="2">
        <f t="shared" si="22"/>
        <v>46317</v>
      </c>
      <c r="I27" s="2">
        <f t="shared" si="22"/>
        <v>46318</v>
      </c>
      <c r="J27" s="2">
        <f t="shared" si="22"/>
        <v>46319</v>
      </c>
      <c r="K27" s="2">
        <f t="shared" si="22"/>
        <v>46320</v>
      </c>
      <c r="L27" s="3" t="s">
        <v>11</v>
      </c>
      <c r="M27">
        <v>12</v>
      </c>
    </row>
    <row r="28" spans="1:17" x14ac:dyDescent="0.25">
      <c r="A28" s="1">
        <v>2</v>
      </c>
      <c r="B28" s="10"/>
      <c r="C28">
        <v>1</v>
      </c>
      <c r="D28" s="8" t="s">
        <v>13</v>
      </c>
      <c r="E28" s="2">
        <f t="shared" si="12"/>
        <v>46321</v>
      </c>
      <c r="F28" s="12">
        <f t="shared" ref="F28:K28" si="23">E28+1</f>
        <v>46322</v>
      </c>
      <c r="G28" s="2">
        <f t="shared" si="23"/>
        <v>46323</v>
      </c>
      <c r="H28" s="9">
        <f t="shared" si="23"/>
        <v>46324</v>
      </c>
      <c r="I28" s="2">
        <f t="shared" si="23"/>
        <v>46325</v>
      </c>
      <c r="J28" s="2">
        <f t="shared" si="23"/>
        <v>46326</v>
      </c>
      <c r="K28" s="2">
        <f t="shared" si="23"/>
        <v>46327</v>
      </c>
      <c r="L28">
        <v>1</v>
      </c>
    </row>
    <row r="29" spans="1:17" x14ac:dyDescent="0.25">
      <c r="A29" s="1">
        <v>3</v>
      </c>
      <c r="B29" s="10"/>
      <c r="C29">
        <v>2</v>
      </c>
      <c r="D29" s="8"/>
      <c r="E29" s="2">
        <f t="shared" si="12"/>
        <v>46328</v>
      </c>
      <c r="F29" s="12">
        <f t="shared" ref="F29:K29" si="24">E29+1</f>
        <v>46329</v>
      </c>
      <c r="G29" s="2">
        <f t="shared" si="24"/>
        <v>46330</v>
      </c>
      <c r="H29" s="9">
        <f t="shared" si="24"/>
        <v>46331</v>
      </c>
      <c r="I29" s="2">
        <f t="shared" si="24"/>
        <v>46332</v>
      </c>
      <c r="J29" s="2">
        <f t="shared" si="24"/>
        <v>46333</v>
      </c>
      <c r="K29" s="2">
        <f t="shared" si="24"/>
        <v>46334</v>
      </c>
      <c r="L29">
        <v>2</v>
      </c>
    </row>
    <row r="30" spans="1:17" x14ac:dyDescent="0.25">
      <c r="A30" s="1">
        <v>4</v>
      </c>
      <c r="B30" s="10"/>
      <c r="C30">
        <v>3</v>
      </c>
      <c r="D30" s="8"/>
      <c r="E30" s="2">
        <f t="shared" si="12"/>
        <v>46335</v>
      </c>
      <c r="F30" s="12">
        <f t="shared" ref="F30:K30" si="25">E30+1</f>
        <v>46336</v>
      </c>
      <c r="G30" s="2">
        <f t="shared" si="25"/>
        <v>46337</v>
      </c>
      <c r="H30" s="9">
        <f t="shared" si="25"/>
        <v>46338</v>
      </c>
      <c r="I30" s="2">
        <f t="shared" si="25"/>
        <v>46339</v>
      </c>
      <c r="J30" s="2">
        <f t="shared" si="25"/>
        <v>46340</v>
      </c>
      <c r="K30" s="2">
        <f t="shared" si="25"/>
        <v>46341</v>
      </c>
      <c r="L30">
        <v>3</v>
      </c>
    </row>
    <row r="31" spans="1:17" x14ac:dyDescent="0.25">
      <c r="A31" s="1">
        <v>5</v>
      </c>
      <c r="B31" s="10"/>
      <c r="C31">
        <v>4</v>
      </c>
      <c r="D31" s="8"/>
      <c r="E31" s="2">
        <f t="shared" si="12"/>
        <v>46342</v>
      </c>
      <c r="F31" s="12">
        <f t="shared" ref="F31:K31" si="26">E31+1</f>
        <v>46343</v>
      </c>
      <c r="G31" s="2">
        <f t="shared" si="26"/>
        <v>46344</v>
      </c>
      <c r="H31" s="9">
        <f t="shared" si="26"/>
        <v>46345</v>
      </c>
      <c r="I31" s="2">
        <f t="shared" si="26"/>
        <v>46346</v>
      </c>
      <c r="J31" s="2">
        <f t="shared" si="26"/>
        <v>46347</v>
      </c>
      <c r="K31" s="2">
        <f t="shared" si="26"/>
        <v>46348</v>
      </c>
      <c r="L31">
        <v>4</v>
      </c>
    </row>
    <row r="32" spans="1:17" x14ac:dyDescent="0.25">
      <c r="A32" s="1">
        <v>6</v>
      </c>
      <c r="B32" s="10"/>
      <c r="C32">
        <v>5</v>
      </c>
      <c r="D32" s="8"/>
      <c r="E32" s="2">
        <f t="shared" ref="E32:E39" si="27">K31+1</f>
        <v>46349</v>
      </c>
      <c r="F32" s="12">
        <f t="shared" ref="F32:K32" si="28">E32+1</f>
        <v>46350</v>
      </c>
      <c r="G32" s="2">
        <f t="shared" si="28"/>
        <v>46351</v>
      </c>
      <c r="H32" s="9">
        <f t="shared" si="28"/>
        <v>46352</v>
      </c>
      <c r="I32" s="2">
        <f t="shared" si="28"/>
        <v>46353</v>
      </c>
      <c r="J32" s="2">
        <f t="shared" si="28"/>
        <v>46354</v>
      </c>
      <c r="K32" s="2">
        <f t="shared" si="28"/>
        <v>46355</v>
      </c>
      <c r="L32">
        <v>5</v>
      </c>
      <c r="P32">
        <f>75+45</f>
        <v>120</v>
      </c>
    </row>
    <row r="33" spans="1:16" x14ac:dyDescent="0.25">
      <c r="A33" s="1">
        <v>7</v>
      </c>
      <c r="B33" s="10"/>
      <c r="C33">
        <v>6</v>
      </c>
      <c r="D33" s="8"/>
      <c r="E33" s="2">
        <f t="shared" si="27"/>
        <v>46356</v>
      </c>
      <c r="F33" s="12">
        <f t="shared" ref="F33:K33" si="29">E33+1</f>
        <v>46357</v>
      </c>
      <c r="G33" s="2">
        <f t="shared" si="29"/>
        <v>46358</v>
      </c>
      <c r="H33" s="9">
        <f t="shared" si="29"/>
        <v>46359</v>
      </c>
      <c r="I33" s="2">
        <f t="shared" si="29"/>
        <v>46360</v>
      </c>
      <c r="J33" s="2">
        <f t="shared" si="29"/>
        <v>46361</v>
      </c>
      <c r="K33" s="2">
        <f t="shared" si="29"/>
        <v>46362</v>
      </c>
      <c r="L33">
        <v>6</v>
      </c>
      <c r="P33">
        <f>P32*127</f>
        <v>15240</v>
      </c>
    </row>
    <row r="34" spans="1:16" x14ac:dyDescent="0.25">
      <c r="A34" s="1">
        <v>8</v>
      </c>
      <c r="B34" s="10"/>
      <c r="C34">
        <v>7</v>
      </c>
      <c r="D34" s="8"/>
      <c r="E34" s="2">
        <f t="shared" si="27"/>
        <v>46363</v>
      </c>
      <c r="F34" s="12">
        <f t="shared" ref="F34:K34" si="30">E34+1</f>
        <v>46364</v>
      </c>
      <c r="G34" s="2">
        <f t="shared" si="30"/>
        <v>46365</v>
      </c>
      <c r="H34" s="9">
        <f t="shared" si="30"/>
        <v>46366</v>
      </c>
      <c r="I34" s="2">
        <f t="shared" si="30"/>
        <v>46367</v>
      </c>
      <c r="J34" s="2">
        <f t="shared" si="30"/>
        <v>46368</v>
      </c>
      <c r="K34" s="2">
        <f t="shared" si="30"/>
        <v>46369</v>
      </c>
      <c r="L34">
        <v>7</v>
      </c>
      <c r="P34">
        <f>P33/2</f>
        <v>7620</v>
      </c>
    </row>
    <row r="35" spans="1:16" x14ac:dyDescent="0.25">
      <c r="A35" s="1">
        <v>9</v>
      </c>
      <c r="B35" s="10"/>
      <c r="C35">
        <v>8</v>
      </c>
      <c r="D35" s="8"/>
      <c r="E35" s="2">
        <f t="shared" si="27"/>
        <v>46370</v>
      </c>
      <c r="F35" s="12">
        <f t="shared" ref="F35:K35" si="31">E35+1</f>
        <v>46371</v>
      </c>
      <c r="G35" s="2">
        <f t="shared" si="31"/>
        <v>46372</v>
      </c>
      <c r="H35" s="9">
        <f t="shared" si="31"/>
        <v>46373</v>
      </c>
      <c r="I35" s="2">
        <f t="shared" si="31"/>
        <v>46374</v>
      </c>
      <c r="J35" s="2">
        <f t="shared" si="31"/>
        <v>46375</v>
      </c>
      <c r="K35" s="2">
        <f t="shared" si="31"/>
        <v>46376</v>
      </c>
      <c r="L35">
        <v>8</v>
      </c>
    </row>
    <row r="36" spans="1:16" x14ac:dyDescent="0.25">
      <c r="A36" s="1"/>
      <c r="B36" s="11"/>
      <c r="C36" s="11"/>
      <c r="D36" s="11"/>
      <c r="E36" s="4">
        <f t="shared" si="27"/>
        <v>46377</v>
      </c>
      <c r="F36" s="4">
        <f t="shared" ref="F36:K36" si="32">E36+1</f>
        <v>46378</v>
      </c>
      <c r="G36" s="4">
        <f t="shared" si="32"/>
        <v>46379</v>
      </c>
      <c r="H36" s="4">
        <f t="shared" si="32"/>
        <v>46380</v>
      </c>
      <c r="I36" s="4">
        <f t="shared" si="32"/>
        <v>46381</v>
      </c>
      <c r="J36" s="4">
        <f t="shared" si="32"/>
        <v>46382</v>
      </c>
      <c r="K36" s="4">
        <f t="shared" si="32"/>
        <v>46383</v>
      </c>
    </row>
    <row r="37" spans="1:16" x14ac:dyDescent="0.25">
      <c r="A37" s="1"/>
      <c r="B37" s="11"/>
      <c r="C37" s="11"/>
      <c r="D37" s="11"/>
      <c r="E37" s="4">
        <f t="shared" si="27"/>
        <v>46384</v>
      </c>
      <c r="F37" s="4">
        <f t="shared" ref="F37:K37" si="33">E37+1</f>
        <v>46385</v>
      </c>
      <c r="G37" s="4">
        <f t="shared" si="33"/>
        <v>46386</v>
      </c>
      <c r="H37" s="4">
        <f t="shared" si="33"/>
        <v>46387</v>
      </c>
      <c r="I37" s="4">
        <f t="shared" si="33"/>
        <v>46388</v>
      </c>
      <c r="J37" s="4">
        <f t="shared" si="33"/>
        <v>46389</v>
      </c>
      <c r="K37" s="4">
        <f t="shared" si="33"/>
        <v>46390</v>
      </c>
    </row>
    <row r="38" spans="1:16" x14ac:dyDescent="0.25">
      <c r="A38" s="1">
        <v>10</v>
      </c>
      <c r="B38" s="10"/>
      <c r="C38">
        <v>9</v>
      </c>
      <c r="D38" s="8"/>
      <c r="E38" s="2">
        <f t="shared" si="27"/>
        <v>46391</v>
      </c>
      <c r="F38" s="12">
        <f t="shared" ref="F38:K38" si="34">E38+1</f>
        <v>46392</v>
      </c>
      <c r="G38" s="2">
        <f t="shared" si="34"/>
        <v>46393</v>
      </c>
      <c r="H38" s="12">
        <f t="shared" si="34"/>
        <v>46394</v>
      </c>
      <c r="I38" s="2">
        <f t="shared" si="34"/>
        <v>46395</v>
      </c>
      <c r="J38" s="2">
        <f t="shared" si="34"/>
        <v>46396</v>
      </c>
      <c r="K38" s="2">
        <f t="shared" si="34"/>
        <v>46397</v>
      </c>
    </row>
    <row r="39" spans="1:16" x14ac:dyDescent="0.25">
      <c r="A39" s="1">
        <v>11</v>
      </c>
      <c r="B39" s="10"/>
      <c r="C39">
        <v>10</v>
      </c>
      <c r="D39" s="8"/>
      <c r="E39" s="2">
        <f t="shared" si="27"/>
        <v>46398</v>
      </c>
      <c r="F39" s="12">
        <f t="shared" ref="F39:K39" si="35">E39+1</f>
        <v>46399</v>
      </c>
      <c r="G39" s="9">
        <f t="shared" si="35"/>
        <v>46400</v>
      </c>
      <c r="H39" s="12">
        <f t="shared" si="35"/>
        <v>46401</v>
      </c>
      <c r="I39" s="2">
        <f t="shared" si="35"/>
        <v>46402</v>
      </c>
      <c r="J39" s="2">
        <f t="shared" si="35"/>
        <v>46403</v>
      </c>
      <c r="K39" s="2">
        <f t="shared" si="35"/>
        <v>46404</v>
      </c>
    </row>
    <row r="40" spans="1:16" x14ac:dyDescent="0.25">
      <c r="A40" s="1">
        <v>12</v>
      </c>
      <c r="B40" s="10"/>
      <c r="C40">
        <v>11</v>
      </c>
      <c r="D40" s="8"/>
      <c r="E40" s="2">
        <f t="shared" ref="E40:E42" si="36">K39+1</f>
        <v>46405</v>
      </c>
      <c r="F40" s="12">
        <f t="shared" ref="F40:K40" si="37">E40+1</f>
        <v>46406</v>
      </c>
      <c r="G40" s="2">
        <f t="shared" si="37"/>
        <v>46407</v>
      </c>
      <c r="H40" s="12">
        <f t="shared" si="37"/>
        <v>46408</v>
      </c>
      <c r="I40" s="2">
        <f t="shared" si="37"/>
        <v>46409</v>
      </c>
      <c r="J40" s="2">
        <f t="shared" si="37"/>
        <v>46410</v>
      </c>
      <c r="K40" s="2">
        <f t="shared" si="37"/>
        <v>46411</v>
      </c>
    </row>
    <row r="41" spans="1:16" x14ac:dyDescent="0.25">
      <c r="C41">
        <v>12</v>
      </c>
      <c r="D41" s="8"/>
      <c r="E41" s="2">
        <f t="shared" si="36"/>
        <v>46412</v>
      </c>
      <c r="F41" s="9">
        <f t="shared" ref="F41:K41" si="38">E41+1</f>
        <v>46413</v>
      </c>
      <c r="G41" s="2">
        <f t="shared" si="38"/>
        <v>46414</v>
      </c>
      <c r="H41" s="9">
        <f t="shared" si="38"/>
        <v>46415</v>
      </c>
      <c r="I41" s="2">
        <f t="shared" si="38"/>
        <v>46416</v>
      </c>
      <c r="J41" s="2">
        <f t="shared" si="38"/>
        <v>46417</v>
      </c>
      <c r="K41" s="2">
        <f t="shared" si="38"/>
        <v>46418</v>
      </c>
    </row>
    <row r="42" spans="1:16" hidden="1" x14ac:dyDescent="0.25">
      <c r="E42" s="2">
        <f t="shared" si="36"/>
        <v>46419</v>
      </c>
      <c r="F42" s="2">
        <f t="shared" ref="F42:K42" si="39">E42+1</f>
        <v>46420</v>
      </c>
      <c r="G42" s="2">
        <f t="shared" si="39"/>
        <v>46421</v>
      </c>
      <c r="H42" s="2">
        <f t="shared" si="39"/>
        <v>46422</v>
      </c>
      <c r="I42" s="2">
        <f t="shared" si="39"/>
        <v>46423</v>
      </c>
      <c r="J42" s="2">
        <f t="shared" si="39"/>
        <v>46424</v>
      </c>
      <c r="K42" s="2">
        <f t="shared" si="39"/>
        <v>46425</v>
      </c>
    </row>
    <row r="43" spans="1:16" x14ac:dyDescent="0.25">
      <c r="E43" s="113" t="s">
        <v>14</v>
      </c>
      <c r="F43" s="113"/>
      <c r="G43" s="113"/>
      <c r="H43" s="113"/>
      <c r="I43" s="113"/>
      <c r="J43" s="113"/>
    </row>
    <row r="44" spans="1:16" hidden="1" x14ac:dyDescent="0.25"/>
    <row r="45" spans="1:16" x14ac:dyDescent="0.25">
      <c r="E45" s="14" t="s">
        <v>3</v>
      </c>
      <c r="F45" s="14" t="s">
        <v>4</v>
      </c>
      <c r="G45" s="14" t="s">
        <v>5</v>
      </c>
      <c r="H45" s="14" t="s">
        <v>6</v>
      </c>
      <c r="I45" s="14" t="s">
        <v>7</v>
      </c>
      <c r="J45" s="14" t="s">
        <v>8</v>
      </c>
      <c r="K45" s="14" t="s">
        <v>9</v>
      </c>
    </row>
    <row r="46" spans="1:16" hidden="1" x14ac:dyDescent="0.25">
      <c r="E46" s="2">
        <v>46160</v>
      </c>
      <c r="F46" s="2">
        <f>E46+1</f>
        <v>46161</v>
      </c>
      <c r="G46" s="2">
        <f t="shared" ref="G46:G83" si="40">F46+1</f>
        <v>46162</v>
      </c>
      <c r="H46" s="2">
        <f t="shared" ref="H46:H83" si="41">G46+1</f>
        <v>46163</v>
      </c>
      <c r="I46" s="6">
        <f t="shared" ref="I46:I83" si="42">H46+1</f>
        <v>46164</v>
      </c>
      <c r="J46" s="2">
        <f t="shared" ref="J46:J83" si="43">I46+1</f>
        <v>46165</v>
      </c>
      <c r="K46" s="2">
        <f t="shared" ref="K46:K83" si="44">J46+1</f>
        <v>46166</v>
      </c>
      <c r="L46" s="7" t="s">
        <v>10</v>
      </c>
    </row>
    <row r="47" spans="1:16" hidden="1" x14ac:dyDescent="0.25">
      <c r="E47" s="2">
        <f>K46+1</f>
        <v>46167</v>
      </c>
      <c r="F47" s="2">
        <f>E47+1</f>
        <v>46168</v>
      </c>
      <c r="G47" s="2">
        <f t="shared" si="40"/>
        <v>46169</v>
      </c>
      <c r="H47" s="2">
        <f t="shared" si="41"/>
        <v>46170</v>
      </c>
      <c r="I47" s="6">
        <f t="shared" si="42"/>
        <v>46171</v>
      </c>
      <c r="J47" s="2">
        <f t="shared" si="43"/>
        <v>46172</v>
      </c>
      <c r="K47" s="2">
        <f t="shared" si="44"/>
        <v>46173</v>
      </c>
      <c r="L47" s="7"/>
    </row>
    <row r="48" spans="1:16" hidden="1" x14ac:dyDescent="0.25">
      <c r="E48" s="2">
        <f>K47+1</f>
        <v>46174</v>
      </c>
      <c r="F48" s="2">
        <f>E48+1</f>
        <v>46175</v>
      </c>
      <c r="G48" s="2">
        <f t="shared" si="40"/>
        <v>46176</v>
      </c>
      <c r="H48" s="2">
        <f t="shared" si="41"/>
        <v>46177</v>
      </c>
      <c r="I48" s="6">
        <f t="shared" si="42"/>
        <v>46178</v>
      </c>
      <c r="J48" s="2">
        <f t="shared" si="43"/>
        <v>46179</v>
      </c>
      <c r="K48" s="2">
        <f t="shared" si="44"/>
        <v>46180</v>
      </c>
      <c r="L48" s="7"/>
    </row>
    <row r="49" spans="5:12" hidden="1" x14ac:dyDescent="0.25">
      <c r="E49" s="2">
        <f t="shared" ref="E49:E56" si="45">K48+1</f>
        <v>46181</v>
      </c>
      <c r="F49" s="2">
        <f t="shared" ref="F49:F56" si="46">E49+1</f>
        <v>46182</v>
      </c>
      <c r="G49" s="13">
        <f t="shared" si="40"/>
        <v>46183</v>
      </c>
      <c r="H49" s="2">
        <f t="shared" si="41"/>
        <v>46184</v>
      </c>
      <c r="I49" s="6">
        <f t="shared" si="42"/>
        <v>46185</v>
      </c>
      <c r="J49" s="2">
        <f t="shared" si="43"/>
        <v>46186</v>
      </c>
      <c r="K49" s="2">
        <f t="shared" si="44"/>
        <v>46187</v>
      </c>
      <c r="L49" s="7"/>
    </row>
    <row r="50" spans="5:12" hidden="1" x14ac:dyDescent="0.25">
      <c r="E50" s="2">
        <f t="shared" si="45"/>
        <v>46188</v>
      </c>
      <c r="F50" s="2">
        <f t="shared" si="46"/>
        <v>46189</v>
      </c>
      <c r="G50" s="13">
        <f t="shared" si="40"/>
        <v>46190</v>
      </c>
      <c r="H50" s="2">
        <f t="shared" si="41"/>
        <v>46191</v>
      </c>
      <c r="I50" s="6">
        <f t="shared" si="42"/>
        <v>46192</v>
      </c>
      <c r="J50" s="2">
        <f t="shared" si="43"/>
        <v>46193</v>
      </c>
      <c r="K50" s="2">
        <f t="shared" si="44"/>
        <v>46194</v>
      </c>
      <c r="L50" s="7"/>
    </row>
    <row r="51" spans="5:12" hidden="1" x14ac:dyDescent="0.25">
      <c r="E51" s="2">
        <f t="shared" si="45"/>
        <v>46195</v>
      </c>
      <c r="F51" s="2">
        <f t="shared" si="46"/>
        <v>46196</v>
      </c>
      <c r="G51" s="2">
        <f t="shared" si="40"/>
        <v>46197</v>
      </c>
      <c r="H51" s="2">
        <f t="shared" si="41"/>
        <v>46198</v>
      </c>
      <c r="I51" s="13">
        <f t="shared" si="42"/>
        <v>46199</v>
      </c>
      <c r="J51" s="2">
        <f t="shared" si="43"/>
        <v>46200</v>
      </c>
      <c r="K51" s="2">
        <f t="shared" si="44"/>
        <v>46201</v>
      </c>
      <c r="L51" s="7"/>
    </row>
    <row r="52" spans="5:12" hidden="1" x14ac:dyDescent="0.25">
      <c r="E52" s="2">
        <f t="shared" si="45"/>
        <v>46202</v>
      </c>
      <c r="F52" s="2">
        <f t="shared" si="46"/>
        <v>46203</v>
      </c>
      <c r="G52" s="2">
        <f t="shared" si="40"/>
        <v>46204</v>
      </c>
      <c r="H52" s="13">
        <f t="shared" si="41"/>
        <v>46205</v>
      </c>
      <c r="I52" s="6">
        <f t="shared" si="42"/>
        <v>46206</v>
      </c>
      <c r="J52" s="2">
        <f t="shared" si="43"/>
        <v>46207</v>
      </c>
      <c r="K52" s="2">
        <f t="shared" si="44"/>
        <v>46208</v>
      </c>
      <c r="L52" s="7"/>
    </row>
    <row r="53" spans="5:12" hidden="1" x14ac:dyDescent="0.25">
      <c r="E53" s="2">
        <f t="shared" si="45"/>
        <v>46209</v>
      </c>
      <c r="F53" s="2">
        <f t="shared" si="46"/>
        <v>46210</v>
      </c>
      <c r="G53" s="13">
        <f t="shared" si="40"/>
        <v>46211</v>
      </c>
      <c r="H53" s="2">
        <f t="shared" si="41"/>
        <v>46212</v>
      </c>
      <c r="I53" s="6">
        <f t="shared" si="42"/>
        <v>46213</v>
      </c>
      <c r="J53" s="2">
        <f t="shared" si="43"/>
        <v>46214</v>
      </c>
      <c r="K53" s="2">
        <f t="shared" si="44"/>
        <v>46215</v>
      </c>
      <c r="L53" s="7"/>
    </row>
    <row r="54" spans="5:12" hidden="1" x14ac:dyDescent="0.25">
      <c r="E54" s="2">
        <f t="shared" si="45"/>
        <v>46216</v>
      </c>
      <c r="F54" s="2">
        <f t="shared" si="46"/>
        <v>46217</v>
      </c>
      <c r="G54" s="2">
        <f t="shared" si="40"/>
        <v>46218</v>
      </c>
      <c r="H54" s="2">
        <f t="shared" si="41"/>
        <v>46219</v>
      </c>
      <c r="I54" s="6">
        <f t="shared" si="42"/>
        <v>46220</v>
      </c>
      <c r="J54" s="2">
        <f t="shared" si="43"/>
        <v>46221</v>
      </c>
      <c r="K54" s="2">
        <f t="shared" si="44"/>
        <v>46222</v>
      </c>
      <c r="L54" s="7"/>
    </row>
    <row r="55" spans="5:12" hidden="1" x14ac:dyDescent="0.25">
      <c r="E55" s="4">
        <f t="shared" si="45"/>
        <v>46223</v>
      </c>
      <c r="F55" s="4">
        <f t="shared" si="46"/>
        <v>46224</v>
      </c>
      <c r="G55" s="4">
        <f t="shared" si="40"/>
        <v>46225</v>
      </c>
      <c r="H55" s="4">
        <f t="shared" si="41"/>
        <v>46226</v>
      </c>
      <c r="I55" s="4">
        <f t="shared" si="42"/>
        <v>46227</v>
      </c>
      <c r="J55" s="4">
        <f t="shared" si="43"/>
        <v>46228</v>
      </c>
      <c r="K55" s="4">
        <f t="shared" si="44"/>
        <v>46229</v>
      </c>
    </row>
    <row r="56" spans="5:12" hidden="1" x14ac:dyDescent="0.25">
      <c r="E56" s="4">
        <f t="shared" si="45"/>
        <v>46230</v>
      </c>
      <c r="F56" s="4">
        <f t="shared" si="46"/>
        <v>46231</v>
      </c>
      <c r="G56" s="4">
        <f t="shared" si="40"/>
        <v>46232</v>
      </c>
      <c r="H56" s="4">
        <f t="shared" si="41"/>
        <v>46233</v>
      </c>
      <c r="I56" s="4">
        <f t="shared" si="42"/>
        <v>46234</v>
      </c>
      <c r="J56" s="4">
        <f t="shared" si="43"/>
        <v>46235</v>
      </c>
      <c r="K56" s="4">
        <f t="shared" si="44"/>
        <v>46236</v>
      </c>
    </row>
    <row r="57" spans="5:12" hidden="1" x14ac:dyDescent="0.25">
      <c r="E57" s="2">
        <v>46237</v>
      </c>
      <c r="F57" s="2">
        <f>E57+1</f>
        <v>46238</v>
      </c>
      <c r="G57" s="2">
        <f t="shared" si="40"/>
        <v>46239</v>
      </c>
      <c r="H57" s="2">
        <f t="shared" si="41"/>
        <v>46240</v>
      </c>
      <c r="I57" s="5">
        <f t="shared" si="42"/>
        <v>46241</v>
      </c>
      <c r="J57" s="2">
        <f t="shared" si="43"/>
        <v>46242</v>
      </c>
      <c r="K57" s="2">
        <f t="shared" si="44"/>
        <v>46243</v>
      </c>
      <c r="L57" s="3" t="s">
        <v>11</v>
      </c>
    </row>
    <row r="58" spans="5:12" hidden="1" x14ac:dyDescent="0.25">
      <c r="E58" s="2">
        <f>K57+1</f>
        <v>46244</v>
      </c>
      <c r="F58" s="2">
        <f>E58+1</f>
        <v>46245</v>
      </c>
      <c r="G58" s="2">
        <f t="shared" si="40"/>
        <v>46246</v>
      </c>
      <c r="H58" s="2">
        <f t="shared" si="41"/>
        <v>46247</v>
      </c>
      <c r="I58" s="5">
        <f t="shared" si="42"/>
        <v>46248</v>
      </c>
      <c r="J58" s="2">
        <f t="shared" si="43"/>
        <v>46249</v>
      </c>
      <c r="K58" s="2">
        <f t="shared" si="44"/>
        <v>46250</v>
      </c>
      <c r="L58" s="3" t="s">
        <v>11</v>
      </c>
    </row>
    <row r="59" spans="5:12" hidden="1" x14ac:dyDescent="0.25">
      <c r="E59" s="2">
        <f t="shared" ref="E59:E83" si="47">K58+1</f>
        <v>46251</v>
      </c>
      <c r="F59" s="2">
        <f t="shared" ref="F59:F83" si="48">E59+1</f>
        <v>46252</v>
      </c>
      <c r="G59" s="2">
        <f t="shared" si="40"/>
        <v>46253</v>
      </c>
      <c r="H59" s="2">
        <f t="shared" si="41"/>
        <v>46254</v>
      </c>
      <c r="I59" s="5">
        <f t="shared" si="42"/>
        <v>46255</v>
      </c>
      <c r="J59" s="2">
        <f t="shared" si="43"/>
        <v>46256</v>
      </c>
      <c r="K59" s="2">
        <f t="shared" si="44"/>
        <v>46257</v>
      </c>
      <c r="L59" s="3" t="s">
        <v>11</v>
      </c>
    </row>
    <row r="60" spans="5:12" hidden="1" x14ac:dyDescent="0.25">
      <c r="E60" s="2">
        <f t="shared" si="47"/>
        <v>46258</v>
      </c>
      <c r="F60" s="2">
        <f t="shared" si="48"/>
        <v>46259</v>
      </c>
      <c r="G60" s="2">
        <f t="shared" si="40"/>
        <v>46260</v>
      </c>
      <c r="H60" s="2">
        <f t="shared" si="41"/>
        <v>46261</v>
      </c>
      <c r="I60" s="5">
        <f t="shared" si="42"/>
        <v>46262</v>
      </c>
      <c r="J60" s="2">
        <f t="shared" si="43"/>
        <v>46263</v>
      </c>
      <c r="K60" s="2">
        <f t="shared" si="44"/>
        <v>46264</v>
      </c>
      <c r="L60" s="3" t="s">
        <v>11</v>
      </c>
    </row>
    <row r="61" spans="5:12" hidden="1" x14ac:dyDescent="0.25">
      <c r="E61" s="2">
        <f t="shared" si="47"/>
        <v>46265</v>
      </c>
      <c r="F61" s="2">
        <f t="shared" si="48"/>
        <v>46266</v>
      </c>
      <c r="G61" s="2">
        <f t="shared" si="40"/>
        <v>46267</v>
      </c>
      <c r="H61" s="2">
        <f t="shared" si="41"/>
        <v>46268</v>
      </c>
      <c r="I61" s="5">
        <f t="shared" si="42"/>
        <v>46269</v>
      </c>
      <c r="J61" s="2">
        <f t="shared" si="43"/>
        <v>46270</v>
      </c>
      <c r="K61" s="2">
        <f t="shared" si="44"/>
        <v>46271</v>
      </c>
      <c r="L61" s="3" t="s">
        <v>11</v>
      </c>
    </row>
    <row r="62" spans="5:12" hidden="1" x14ac:dyDescent="0.25">
      <c r="E62" s="4">
        <f t="shared" si="47"/>
        <v>46272</v>
      </c>
      <c r="F62" s="2">
        <f t="shared" si="48"/>
        <v>46273</v>
      </c>
      <c r="G62" s="2">
        <f t="shared" si="40"/>
        <v>46274</v>
      </c>
      <c r="H62" s="2">
        <f t="shared" si="41"/>
        <v>46275</v>
      </c>
      <c r="I62" s="5">
        <f t="shared" si="42"/>
        <v>46276</v>
      </c>
      <c r="J62" s="2">
        <f t="shared" si="43"/>
        <v>46277</v>
      </c>
      <c r="K62" s="2">
        <f t="shared" si="44"/>
        <v>46278</v>
      </c>
      <c r="L62" s="3" t="s">
        <v>11</v>
      </c>
    </row>
    <row r="63" spans="5:12" hidden="1" x14ac:dyDescent="0.25">
      <c r="E63" s="2">
        <f t="shared" si="47"/>
        <v>46279</v>
      </c>
      <c r="F63" s="2">
        <f t="shared" si="48"/>
        <v>46280</v>
      </c>
      <c r="G63" s="2">
        <f t="shared" si="40"/>
        <v>46281</v>
      </c>
      <c r="H63" s="2">
        <f t="shared" si="41"/>
        <v>46282</v>
      </c>
      <c r="I63" s="5">
        <f t="shared" si="42"/>
        <v>46283</v>
      </c>
      <c r="J63" s="2">
        <f t="shared" si="43"/>
        <v>46284</v>
      </c>
      <c r="K63" s="2">
        <f t="shared" si="44"/>
        <v>46285</v>
      </c>
      <c r="L63" s="3" t="s">
        <v>11</v>
      </c>
    </row>
    <row r="64" spans="5:12" hidden="1" x14ac:dyDescent="0.25">
      <c r="E64" s="2">
        <f t="shared" si="47"/>
        <v>46286</v>
      </c>
      <c r="F64" s="2">
        <f t="shared" si="48"/>
        <v>46287</v>
      </c>
      <c r="G64" s="2">
        <f t="shared" si="40"/>
        <v>46288</v>
      </c>
      <c r="H64" s="2">
        <f t="shared" si="41"/>
        <v>46289</v>
      </c>
      <c r="I64" s="5">
        <f t="shared" si="42"/>
        <v>46290</v>
      </c>
      <c r="J64" s="2">
        <f t="shared" si="43"/>
        <v>46291</v>
      </c>
      <c r="K64" s="2">
        <f t="shared" si="44"/>
        <v>46292</v>
      </c>
      <c r="L64" s="3" t="s">
        <v>11</v>
      </c>
    </row>
    <row r="65" spans="2:12" hidden="1" x14ac:dyDescent="0.25">
      <c r="E65" s="2">
        <f t="shared" si="47"/>
        <v>46293</v>
      </c>
      <c r="F65" s="2">
        <f t="shared" si="48"/>
        <v>46294</v>
      </c>
      <c r="G65" s="2">
        <f t="shared" si="40"/>
        <v>46295</v>
      </c>
      <c r="H65" s="2">
        <f t="shared" si="41"/>
        <v>46296</v>
      </c>
      <c r="I65" s="5">
        <f t="shared" si="42"/>
        <v>46297</v>
      </c>
      <c r="J65" s="2">
        <f t="shared" si="43"/>
        <v>46298</v>
      </c>
      <c r="K65" s="2">
        <f t="shared" si="44"/>
        <v>46299</v>
      </c>
      <c r="L65" s="3" t="s">
        <v>11</v>
      </c>
    </row>
    <row r="66" spans="2:12" hidden="1" x14ac:dyDescent="0.25">
      <c r="E66" s="2">
        <f t="shared" si="47"/>
        <v>46300</v>
      </c>
      <c r="F66" s="2">
        <f t="shared" si="48"/>
        <v>46301</v>
      </c>
      <c r="G66" s="2">
        <f t="shared" si="40"/>
        <v>46302</v>
      </c>
      <c r="H66" s="2">
        <f t="shared" si="41"/>
        <v>46303</v>
      </c>
      <c r="I66" s="5">
        <f t="shared" si="42"/>
        <v>46304</v>
      </c>
      <c r="J66" s="2">
        <f t="shared" si="43"/>
        <v>46305</v>
      </c>
      <c r="K66" s="2">
        <f t="shared" si="44"/>
        <v>46306</v>
      </c>
      <c r="L66" s="3" t="s">
        <v>11</v>
      </c>
    </row>
    <row r="67" spans="2:12" hidden="1" x14ac:dyDescent="0.25">
      <c r="E67" s="4">
        <f t="shared" si="47"/>
        <v>46307</v>
      </c>
      <c r="F67" s="2">
        <f t="shared" si="48"/>
        <v>46308</v>
      </c>
      <c r="G67" s="2">
        <f t="shared" si="40"/>
        <v>46309</v>
      </c>
      <c r="H67" s="2">
        <f t="shared" si="41"/>
        <v>46310</v>
      </c>
      <c r="I67" s="5">
        <f t="shared" si="42"/>
        <v>46311</v>
      </c>
      <c r="J67" s="2">
        <f t="shared" si="43"/>
        <v>46312</v>
      </c>
      <c r="K67" s="2">
        <f t="shared" si="44"/>
        <v>46313</v>
      </c>
      <c r="L67" s="3" t="s">
        <v>11</v>
      </c>
    </row>
    <row r="68" spans="2:12" x14ac:dyDescent="0.25">
      <c r="B68" s="10" t="s">
        <v>12</v>
      </c>
      <c r="E68" s="2">
        <f t="shared" si="47"/>
        <v>46314</v>
      </c>
      <c r="F68" s="2">
        <f t="shared" si="48"/>
        <v>46315</v>
      </c>
      <c r="G68" s="2">
        <f t="shared" si="40"/>
        <v>46316</v>
      </c>
      <c r="H68" s="12">
        <f t="shared" si="41"/>
        <v>46317</v>
      </c>
      <c r="I68" s="2">
        <f t="shared" si="42"/>
        <v>46318</v>
      </c>
      <c r="J68" s="2">
        <f t="shared" si="43"/>
        <v>46319</v>
      </c>
      <c r="K68" s="2">
        <f t="shared" si="44"/>
        <v>46320</v>
      </c>
      <c r="L68" s="3" t="s">
        <v>11</v>
      </c>
    </row>
    <row r="69" spans="2:12" x14ac:dyDescent="0.25">
      <c r="B69" s="10"/>
      <c r="C69">
        <v>1</v>
      </c>
      <c r="D69" s="8" t="s">
        <v>13</v>
      </c>
      <c r="E69" s="2">
        <f t="shared" si="47"/>
        <v>46321</v>
      </c>
      <c r="F69" s="9">
        <f t="shared" si="48"/>
        <v>46322</v>
      </c>
      <c r="G69" s="2">
        <f t="shared" si="40"/>
        <v>46323</v>
      </c>
      <c r="H69" s="12">
        <f t="shared" si="41"/>
        <v>46324</v>
      </c>
      <c r="I69" s="2">
        <f t="shared" si="42"/>
        <v>46325</v>
      </c>
      <c r="J69" s="2">
        <f t="shared" si="43"/>
        <v>46326</v>
      </c>
      <c r="K69" s="2">
        <f t="shared" si="44"/>
        <v>46327</v>
      </c>
      <c r="L69">
        <v>1</v>
      </c>
    </row>
    <row r="70" spans="2:12" x14ac:dyDescent="0.25">
      <c r="B70" s="10"/>
      <c r="C70">
        <v>2</v>
      </c>
      <c r="D70" s="8"/>
      <c r="E70" s="2">
        <f t="shared" si="47"/>
        <v>46328</v>
      </c>
      <c r="F70" s="9">
        <f t="shared" si="48"/>
        <v>46329</v>
      </c>
      <c r="G70" s="2">
        <f t="shared" si="40"/>
        <v>46330</v>
      </c>
      <c r="H70" s="12">
        <f t="shared" si="41"/>
        <v>46331</v>
      </c>
      <c r="I70" s="2">
        <f t="shared" si="42"/>
        <v>46332</v>
      </c>
      <c r="J70" s="2">
        <f t="shared" si="43"/>
        <v>46333</v>
      </c>
      <c r="K70" s="2">
        <f t="shared" si="44"/>
        <v>46334</v>
      </c>
      <c r="L70">
        <v>2</v>
      </c>
    </row>
    <row r="71" spans="2:12" x14ac:dyDescent="0.25">
      <c r="B71" s="10"/>
      <c r="C71">
        <v>3</v>
      </c>
      <c r="D71" s="8"/>
      <c r="E71" s="2">
        <f t="shared" si="47"/>
        <v>46335</v>
      </c>
      <c r="F71" s="9">
        <f t="shared" si="48"/>
        <v>46336</v>
      </c>
      <c r="G71" s="2">
        <f t="shared" si="40"/>
        <v>46337</v>
      </c>
      <c r="H71" s="12">
        <f t="shared" si="41"/>
        <v>46338</v>
      </c>
      <c r="I71" s="2">
        <f t="shared" si="42"/>
        <v>46339</v>
      </c>
      <c r="J71" s="2">
        <f t="shared" si="43"/>
        <v>46340</v>
      </c>
      <c r="K71" s="2">
        <f t="shared" si="44"/>
        <v>46341</v>
      </c>
      <c r="L71">
        <v>3</v>
      </c>
    </row>
    <row r="72" spans="2:12" x14ac:dyDescent="0.25">
      <c r="B72" s="10"/>
      <c r="C72">
        <v>4</v>
      </c>
      <c r="D72" s="8"/>
      <c r="E72" s="2">
        <f t="shared" si="47"/>
        <v>46342</v>
      </c>
      <c r="F72" s="9">
        <f t="shared" si="48"/>
        <v>46343</v>
      </c>
      <c r="G72" s="2">
        <f t="shared" si="40"/>
        <v>46344</v>
      </c>
      <c r="H72" s="12">
        <f t="shared" si="41"/>
        <v>46345</v>
      </c>
      <c r="I72" s="2">
        <f t="shared" si="42"/>
        <v>46346</v>
      </c>
      <c r="J72" s="2">
        <f t="shared" si="43"/>
        <v>46347</v>
      </c>
      <c r="K72" s="2">
        <f t="shared" si="44"/>
        <v>46348</v>
      </c>
      <c r="L72">
        <v>4</v>
      </c>
    </row>
    <row r="73" spans="2:12" x14ac:dyDescent="0.25">
      <c r="B73" s="10"/>
      <c r="C73">
        <v>5</v>
      </c>
      <c r="D73" s="8"/>
      <c r="E73" s="2">
        <f t="shared" si="47"/>
        <v>46349</v>
      </c>
      <c r="F73" s="9">
        <f t="shared" si="48"/>
        <v>46350</v>
      </c>
      <c r="G73" s="2">
        <f t="shared" si="40"/>
        <v>46351</v>
      </c>
      <c r="H73" s="12">
        <f t="shared" si="41"/>
        <v>46352</v>
      </c>
      <c r="I73" s="2">
        <f t="shared" si="42"/>
        <v>46353</v>
      </c>
      <c r="J73" s="2">
        <f t="shared" si="43"/>
        <v>46354</v>
      </c>
      <c r="K73" s="2">
        <f t="shared" si="44"/>
        <v>46355</v>
      </c>
      <c r="L73">
        <v>5</v>
      </c>
    </row>
    <row r="74" spans="2:12" x14ac:dyDescent="0.25">
      <c r="B74" s="10"/>
      <c r="C74">
        <v>6</v>
      </c>
      <c r="D74" s="8"/>
      <c r="E74" s="2">
        <f t="shared" si="47"/>
        <v>46356</v>
      </c>
      <c r="F74" s="9">
        <f t="shared" si="48"/>
        <v>46357</v>
      </c>
      <c r="G74" s="2">
        <f t="shared" si="40"/>
        <v>46358</v>
      </c>
      <c r="H74" s="12">
        <f t="shared" si="41"/>
        <v>46359</v>
      </c>
      <c r="I74" s="2">
        <f t="shared" si="42"/>
        <v>46360</v>
      </c>
      <c r="J74" s="2">
        <f t="shared" si="43"/>
        <v>46361</v>
      </c>
      <c r="K74" s="2">
        <f t="shared" si="44"/>
        <v>46362</v>
      </c>
      <c r="L74">
        <v>6</v>
      </c>
    </row>
    <row r="75" spans="2:12" x14ac:dyDescent="0.25">
      <c r="B75" s="10"/>
      <c r="C75">
        <v>7</v>
      </c>
      <c r="D75" s="8"/>
      <c r="E75" s="2">
        <f t="shared" si="47"/>
        <v>46363</v>
      </c>
      <c r="F75" s="9">
        <f t="shared" si="48"/>
        <v>46364</v>
      </c>
      <c r="G75" s="2">
        <f t="shared" si="40"/>
        <v>46365</v>
      </c>
      <c r="H75" s="12">
        <f t="shared" si="41"/>
        <v>46366</v>
      </c>
      <c r="I75" s="2">
        <f t="shared" si="42"/>
        <v>46367</v>
      </c>
      <c r="J75" s="2">
        <f t="shared" si="43"/>
        <v>46368</v>
      </c>
      <c r="K75" s="2">
        <f t="shared" si="44"/>
        <v>46369</v>
      </c>
      <c r="L75">
        <v>7</v>
      </c>
    </row>
    <row r="76" spans="2:12" x14ac:dyDescent="0.25">
      <c r="B76" s="10"/>
      <c r="C76">
        <v>8</v>
      </c>
      <c r="D76" s="8"/>
      <c r="E76" s="2">
        <f t="shared" si="47"/>
        <v>46370</v>
      </c>
      <c r="F76" s="9">
        <f t="shared" si="48"/>
        <v>46371</v>
      </c>
      <c r="G76" s="2">
        <f t="shared" si="40"/>
        <v>46372</v>
      </c>
      <c r="H76" s="12">
        <f t="shared" si="41"/>
        <v>46373</v>
      </c>
      <c r="I76" s="2">
        <f t="shared" si="42"/>
        <v>46374</v>
      </c>
      <c r="J76" s="2">
        <f t="shared" si="43"/>
        <v>46375</v>
      </c>
      <c r="K76" s="2">
        <f t="shared" si="44"/>
        <v>46376</v>
      </c>
      <c r="L76">
        <v>8</v>
      </c>
    </row>
    <row r="77" spans="2:12" x14ac:dyDescent="0.25">
      <c r="B77" s="11"/>
      <c r="C77" s="11"/>
      <c r="D77" s="11"/>
      <c r="E77" s="4">
        <f t="shared" si="47"/>
        <v>46377</v>
      </c>
      <c r="F77" s="4">
        <f t="shared" si="48"/>
        <v>46378</v>
      </c>
      <c r="G77" s="4">
        <f t="shared" si="40"/>
        <v>46379</v>
      </c>
      <c r="H77" s="4">
        <f t="shared" si="41"/>
        <v>46380</v>
      </c>
      <c r="I77" s="4">
        <f t="shared" si="42"/>
        <v>46381</v>
      </c>
      <c r="J77" s="4">
        <f t="shared" si="43"/>
        <v>46382</v>
      </c>
      <c r="K77" s="4">
        <f t="shared" si="44"/>
        <v>46383</v>
      </c>
    </row>
    <row r="78" spans="2:12" x14ac:dyDescent="0.25">
      <c r="B78" s="11"/>
      <c r="C78" s="11"/>
      <c r="D78" s="11"/>
      <c r="E78" s="4">
        <f t="shared" si="47"/>
        <v>46384</v>
      </c>
      <c r="F78" s="4">
        <f t="shared" si="48"/>
        <v>46385</v>
      </c>
      <c r="G78" s="4">
        <f t="shared" si="40"/>
        <v>46386</v>
      </c>
      <c r="H78" s="4">
        <f t="shared" si="41"/>
        <v>46387</v>
      </c>
      <c r="I78" s="4">
        <f t="shared" si="42"/>
        <v>46388</v>
      </c>
      <c r="J78" s="4">
        <f t="shared" si="43"/>
        <v>46389</v>
      </c>
      <c r="K78" s="4">
        <f t="shared" si="44"/>
        <v>46390</v>
      </c>
    </row>
    <row r="79" spans="2:12" x14ac:dyDescent="0.25">
      <c r="B79" s="10"/>
      <c r="C79">
        <v>9</v>
      </c>
      <c r="D79" s="8"/>
      <c r="E79" s="2">
        <f t="shared" si="47"/>
        <v>46391</v>
      </c>
      <c r="F79" s="12">
        <f t="shared" si="48"/>
        <v>46392</v>
      </c>
      <c r="G79" s="2">
        <f t="shared" si="40"/>
        <v>46393</v>
      </c>
      <c r="H79" s="12">
        <f t="shared" si="41"/>
        <v>46394</v>
      </c>
      <c r="I79" s="2">
        <f t="shared" si="42"/>
        <v>46395</v>
      </c>
      <c r="J79" s="2">
        <f t="shared" si="43"/>
        <v>46396</v>
      </c>
      <c r="K79" s="2">
        <f t="shared" si="44"/>
        <v>46397</v>
      </c>
    </row>
    <row r="80" spans="2:12" x14ac:dyDescent="0.25">
      <c r="B80" s="10"/>
      <c r="C80">
        <v>10</v>
      </c>
      <c r="D80" s="8"/>
      <c r="E80" s="2">
        <f t="shared" si="47"/>
        <v>46398</v>
      </c>
      <c r="F80" s="12">
        <f t="shared" si="48"/>
        <v>46399</v>
      </c>
      <c r="G80" s="9">
        <f t="shared" si="40"/>
        <v>46400</v>
      </c>
      <c r="H80" s="12">
        <f t="shared" si="41"/>
        <v>46401</v>
      </c>
      <c r="I80" s="2">
        <f t="shared" si="42"/>
        <v>46402</v>
      </c>
      <c r="J80" s="2">
        <f t="shared" si="43"/>
        <v>46403</v>
      </c>
      <c r="K80" s="2">
        <f t="shared" si="44"/>
        <v>46404</v>
      </c>
    </row>
    <row r="81" spans="2:11" x14ac:dyDescent="0.25">
      <c r="B81" s="10"/>
      <c r="C81">
        <v>11</v>
      </c>
      <c r="D81" s="8"/>
      <c r="E81" s="2">
        <f t="shared" si="47"/>
        <v>46405</v>
      </c>
      <c r="F81" s="12">
        <f t="shared" si="48"/>
        <v>46406</v>
      </c>
      <c r="G81" s="2">
        <f t="shared" si="40"/>
        <v>46407</v>
      </c>
      <c r="H81" s="12">
        <f t="shared" si="41"/>
        <v>46408</v>
      </c>
      <c r="I81" s="2">
        <f t="shared" si="42"/>
        <v>46409</v>
      </c>
      <c r="J81" s="2">
        <f t="shared" si="43"/>
        <v>46410</v>
      </c>
      <c r="K81" s="2">
        <f t="shared" si="44"/>
        <v>46411</v>
      </c>
    </row>
    <row r="82" spans="2:11" x14ac:dyDescent="0.25">
      <c r="C82">
        <v>12</v>
      </c>
      <c r="D82" s="8"/>
      <c r="E82" s="2">
        <f t="shared" si="47"/>
        <v>46412</v>
      </c>
      <c r="F82" s="9">
        <f t="shared" si="48"/>
        <v>46413</v>
      </c>
      <c r="G82" s="2">
        <f t="shared" si="40"/>
        <v>46414</v>
      </c>
      <c r="H82" s="9">
        <f t="shared" si="41"/>
        <v>46415</v>
      </c>
      <c r="I82" s="2">
        <f t="shared" si="42"/>
        <v>46416</v>
      </c>
      <c r="J82" s="2">
        <f t="shared" si="43"/>
        <v>46417</v>
      </c>
      <c r="K82" s="2">
        <f t="shared" si="44"/>
        <v>46418</v>
      </c>
    </row>
    <row r="83" spans="2:11" hidden="1" x14ac:dyDescent="0.25">
      <c r="E83" s="2">
        <f t="shared" si="47"/>
        <v>46419</v>
      </c>
      <c r="F83" s="2">
        <f t="shared" si="48"/>
        <v>46420</v>
      </c>
      <c r="G83" s="2">
        <f t="shared" si="40"/>
        <v>46421</v>
      </c>
      <c r="H83" s="2">
        <f t="shared" si="41"/>
        <v>46422</v>
      </c>
      <c r="I83" s="2">
        <f t="shared" si="42"/>
        <v>46423</v>
      </c>
      <c r="J83" s="2">
        <f t="shared" si="43"/>
        <v>46424</v>
      </c>
      <c r="K83" s="2">
        <f t="shared" si="44"/>
        <v>46425</v>
      </c>
    </row>
  </sheetData>
  <mergeCells count="4">
    <mergeCell ref="E1:J1"/>
    <mergeCell ref="E43:J43"/>
    <mergeCell ref="E2:I2"/>
    <mergeCell ref="E3:I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C698B-22C1-4E33-AFAA-5415F4761F8C}">
  <dimension ref="A1:J107"/>
  <sheetViews>
    <sheetView tabSelected="1" topLeftCell="A25" workbookViewId="0">
      <selection activeCell="B89" sqref="B89"/>
    </sheetView>
  </sheetViews>
  <sheetFormatPr baseColWidth="10" defaultRowHeight="15" x14ac:dyDescent="0.25"/>
  <cols>
    <col min="1" max="6" width="18.7109375" customWidth="1"/>
  </cols>
  <sheetData>
    <row r="1" spans="1:10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</row>
    <row r="2" spans="1:10" ht="78" customHeight="1" x14ac:dyDescent="0.25">
      <c r="A2" s="109" t="s">
        <v>15</v>
      </c>
      <c r="B2" s="110"/>
      <c r="C2" s="110"/>
      <c r="D2" s="110"/>
      <c r="E2" s="110"/>
      <c r="F2" s="110"/>
      <c r="G2" s="86"/>
      <c r="H2" s="86"/>
      <c r="I2" s="86"/>
      <c r="J2" s="86"/>
    </row>
    <row r="3" spans="1:10" ht="19.5" customHeight="1" x14ac:dyDescent="0.25">
      <c r="A3" s="111" t="s">
        <v>16</v>
      </c>
      <c r="B3" s="112"/>
      <c r="C3" s="112"/>
      <c r="D3" s="112"/>
      <c r="E3" s="112"/>
      <c r="F3" s="112"/>
      <c r="G3" s="86"/>
      <c r="H3" s="86"/>
      <c r="I3" s="86"/>
      <c r="J3" s="86"/>
    </row>
    <row r="4" spans="1:10" ht="15" customHeight="1" x14ac:dyDescent="0.25">
      <c r="A4" s="105" t="s">
        <v>17</v>
      </c>
      <c r="B4" s="106"/>
      <c r="C4" s="106"/>
      <c r="D4" s="106"/>
      <c r="E4" s="106"/>
      <c r="F4" s="106"/>
      <c r="G4" s="16"/>
      <c r="H4" s="16"/>
      <c r="I4" s="16"/>
      <c r="J4" s="16"/>
    </row>
    <row r="5" spans="1:10" ht="60" customHeight="1" thickBot="1" x14ac:dyDescent="0.3">
      <c r="A5" s="107" t="s">
        <v>18</v>
      </c>
      <c r="B5" s="108"/>
      <c r="C5" s="108"/>
      <c r="D5" s="108"/>
      <c r="E5" s="108"/>
      <c r="F5" s="108"/>
      <c r="G5" s="16"/>
      <c r="H5" s="16"/>
      <c r="I5" s="16"/>
      <c r="J5" s="16"/>
    </row>
    <row r="6" spans="1:10" ht="16.5" thickTop="1" thickBot="1" x14ac:dyDescent="0.3">
      <c r="A6" s="17"/>
      <c r="B6" s="18" t="s">
        <v>3</v>
      </c>
      <c r="C6" s="18" t="s">
        <v>4</v>
      </c>
      <c r="D6" s="18" t="s">
        <v>5</v>
      </c>
      <c r="E6" s="18" t="s">
        <v>6</v>
      </c>
      <c r="F6" s="19" t="s">
        <v>7</v>
      </c>
      <c r="G6" s="16"/>
      <c r="H6" s="16"/>
      <c r="I6" s="16"/>
      <c r="J6" s="16"/>
    </row>
    <row r="7" spans="1:10" ht="15.75" thickTop="1" x14ac:dyDescent="0.25">
      <c r="A7" s="20" t="s">
        <v>19</v>
      </c>
      <c r="B7" s="91" t="s">
        <v>19</v>
      </c>
      <c r="C7" s="91" t="s">
        <v>20</v>
      </c>
      <c r="D7" s="91" t="s">
        <v>21</v>
      </c>
      <c r="E7" s="91" t="s">
        <v>22</v>
      </c>
      <c r="F7" s="91" t="s">
        <v>23</v>
      </c>
      <c r="G7" s="16"/>
      <c r="H7" s="16"/>
      <c r="I7" s="16"/>
      <c r="J7" s="16"/>
    </row>
    <row r="8" spans="1:10" ht="15.75" thickBot="1" x14ac:dyDescent="0.3">
      <c r="A8" s="22" t="s">
        <v>24</v>
      </c>
      <c r="B8" s="92"/>
      <c r="C8" s="92"/>
      <c r="D8" s="92"/>
      <c r="E8" s="92"/>
      <c r="F8" s="92"/>
      <c r="G8" s="16"/>
      <c r="H8" s="16"/>
      <c r="I8" s="16"/>
      <c r="J8" s="16"/>
    </row>
    <row r="9" spans="1:10" ht="15.75" thickTop="1" x14ac:dyDescent="0.25">
      <c r="A9" s="23"/>
      <c r="B9" s="102" t="s">
        <v>25</v>
      </c>
      <c r="C9" s="25"/>
      <c r="D9" s="25"/>
      <c r="E9" s="25"/>
      <c r="F9" s="25"/>
      <c r="G9" s="16"/>
      <c r="H9" s="16"/>
      <c r="I9" s="16"/>
      <c r="J9" s="16"/>
    </row>
    <row r="10" spans="1:10" x14ac:dyDescent="0.25">
      <c r="A10" s="26"/>
      <c r="B10" s="103"/>
      <c r="C10" s="28"/>
      <c r="D10" s="28"/>
      <c r="E10" s="28"/>
      <c r="F10" s="28"/>
      <c r="G10" s="16"/>
      <c r="H10" s="16"/>
      <c r="I10" s="16"/>
      <c r="J10" s="16"/>
    </row>
    <row r="11" spans="1:10" x14ac:dyDescent="0.25">
      <c r="A11" s="29"/>
      <c r="B11" s="103"/>
      <c r="C11" s="43"/>
      <c r="D11" s="43"/>
      <c r="E11" s="43"/>
      <c r="F11" s="28"/>
      <c r="G11" s="16"/>
      <c r="H11" s="16"/>
      <c r="I11" s="16"/>
      <c r="J11" s="16"/>
    </row>
    <row r="12" spans="1:10" ht="15.75" thickBot="1" x14ac:dyDescent="0.3">
      <c r="A12" s="26"/>
      <c r="B12" s="104"/>
      <c r="C12" s="28"/>
      <c r="D12" s="28"/>
      <c r="E12" s="28"/>
      <c r="F12" s="28"/>
      <c r="G12" s="16"/>
      <c r="H12" s="16"/>
      <c r="I12" s="16"/>
      <c r="J12" s="16"/>
    </row>
    <row r="13" spans="1:10" ht="15.75" thickTop="1" x14ac:dyDescent="0.25">
      <c r="A13" s="20" t="s">
        <v>27</v>
      </c>
      <c r="B13" s="91" t="s">
        <v>27</v>
      </c>
      <c r="C13" s="91" t="s">
        <v>28</v>
      </c>
      <c r="D13" s="91" t="s">
        <v>29</v>
      </c>
      <c r="E13" s="91" t="s">
        <v>30</v>
      </c>
      <c r="F13" s="91" t="s">
        <v>31</v>
      </c>
      <c r="G13" s="16"/>
      <c r="H13" s="16"/>
      <c r="I13" s="16"/>
      <c r="J13" s="16"/>
    </row>
    <row r="14" spans="1:10" ht="15.75" thickBot="1" x14ac:dyDescent="0.3">
      <c r="A14" s="30" t="s">
        <v>32</v>
      </c>
      <c r="B14" s="92"/>
      <c r="C14" s="92"/>
      <c r="D14" s="92"/>
      <c r="E14" s="92"/>
      <c r="F14" s="92"/>
      <c r="G14" s="16"/>
      <c r="H14" s="16"/>
      <c r="I14" s="16"/>
      <c r="J14" s="16"/>
    </row>
    <row r="15" spans="1:10" ht="15.75" thickTop="1" x14ac:dyDescent="0.25">
      <c r="A15" s="31"/>
      <c r="B15" s="16"/>
      <c r="C15" s="32" t="s">
        <v>33</v>
      </c>
      <c r="D15" s="25"/>
      <c r="E15" s="32" t="s">
        <v>33</v>
      </c>
      <c r="F15" s="25"/>
      <c r="G15" s="16"/>
      <c r="H15" s="16"/>
      <c r="I15" s="16"/>
      <c r="J15" s="16"/>
    </row>
    <row r="16" spans="1:10" x14ac:dyDescent="0.25">
      <c r="A16" s="33"/>
      <c r="B16" s="16"/>
      <c r="C16" s="34" t="s">
        <v>34</v>
      </c>
      <c r="D16" s="28"/>
      <c r="E16" s="34" t="s">
        <v>34</v>
      </c>
      <c r="F16" s="28"/>
      <c r="G16" s="16"/>
      <c r="H16" s="16"/>
      <c r="I16" s="16"/>
      <c r="J16" s="16"/>
    </row>
    <row r="17" spans="1:10" x14ac:dyDescent="0.25">
      <c r="A17" s="35"/>
      <c r="B17" s="16"/>
      <c r="C17" s="34" t="s">
        <v>37</v>
      </c>
      <c r="D17" s="43"/>
      <c r="E17" s="34" t="s">
        <v>37</v>
      </c>
      <c r="F17" s="43"/>
      <c r="G17" s="16"/>
      <c r="H17" s="16"/>
      <c r="I17" s="16"/>
      <c r="J17" s="16"/>
    </row>
    <row r="18" spans="1:10" ht="15.75" thickBot="1" x14ac:dyDescent="0.3">
      <c r="A18" s="33"/>
      <c r="B18" s="16"/>
      <c r="C18" s="34" t="s">
        <v>26</v>
      </c>
      <c r="D18" s="28"/>
      <c r="E18" s="34" t="s">
        <v>26</v>
      </c>
      <c r="F18" s="28"/>
      <c r="G18" s="16"/>
      <c r="H18" s="16"/>
      <c r="I18" s="16"/>
      <c r="J18" s="16"/>
    </row>
    <row r="19" spans="1:10" ht="15.75" thickTop="1" x14ac:dyDescent="0.25">
      <c r="A19" s="20" t="s">
        <v>40</v>
      </c>
      <c r="B19" s="91" t="s">
        <v>40</v>
      </c>
      <c r="C19" s="91" t="s">
        <v>41</v>
      </c>
      <c r="D19" s="91" t="s">
        <v>42</v>
      </c>
      <c r="E19" s="91" t="s">
        <v>43</v>
      </c>
      <c r="F19" s="91" t="s">
        <v>44</v>
      </c>
      <c r="G19" s="16"/>
      <c r="H19" s="16"/>
      <c r="I19" s="16"/>
      <c r="J19" s="16"/>
    </row>
    <row r="20" spans="1:10" ht="15.75" thickBot="1" x14ac:dyDescent="0.3">
      <c r="A20" s="30" t="s">
        <v>45</v>
      </c>
      <c r="B20" s="92"/>
      <c r="C20" s="92"/>
      <c r="D20" s="92"/>
      <c r="E20" s="92"/>
      <c r="F20" s="92"/>
      <c r="G20" s="16"/>
      <c r="H20" s="16"/>
      <c r="I20" s="16"/>
      <c r="J20" s="16"/>
    </row>
    <row r="21" spans="1:10" ht="15.75" thickTop="1" x14ac:dyDescent="0.25">
      <c r="A21" s="36"/>
      <c r="B21" s="32" t="s">
        <v>33</v>
      </c>
      <c r="C21" s="32" t="s">
        <v>33</v>
      </c>
      <c r="D21" s="25"/>
      <c r="E21" s="25"/>
      <c r="F21" s="25"/>
      <c r="G21" s="16"/>
      <c r="H21" s="16"/>
      <c r="I21" s="16"/>
      <c r="J21" s="16"/>
    </row>
    <row r="22" spans="1:10" x14ac:dyDescent="0.25">
      <c r="A22" s="33"/>
      <c r="B22" s="34" t="s">
        <v>34</v>
      </c>
      <c r="C22" s="34" t="s">
        <v>34</v>
      </c>
      <c r="D22" s="28"/>
      <c r="E22" s="28"/>
      <c r="F22" s="28"/>
      <c r="G22" s="100"/>
      <c r="H22" s="101"/>
      <c r="I22" s="101"/>
      <c r="J22" s="101"/>
    </row>
    <row r="23" spans="1:10" x14ac:dyDescent="0.25">
      <c r="A23" s="35"/>
      <c r="B23" s="34" t="s">
        <v>37</v>
      </c>
      <c r="C23" s="34" t="s">
        <v>37</v>
      </c>
      <c r="D23" s="43"/>
      <c r="E23" s="43"/>
      <c r="F23" s="43"/>
      <c r="G23" s="16"/>
      <c r="H23" s="16"/>
      <c r="I23" s="16"/>
      <c r="J23" s="16"/>
    </row>
    <row r="24" spans="1:10" ht="15.75" thickBot="1" x14ac:dyDescent="0.3">
      <c r="A24" s="33"/>
      <c r="B24" s="34" t="s">
        <v>26</v>
      </c>
      <c r="C24" s="34" t="s">
        <v>26</v>
      </c>
      <c r="D24" s="28"/>
      <c r="E24" s="28"/>
      <c r="F24" s="28"/>
      <c r="G24" s="16"/>
      <c r="H24" s="16"/>
      <c r="I24" s="16"/>
      <c r="J24" s="16"/>
    </row>
    <row r="25" spans="1:10" ht="15.75" thickTop="1" x14ac:dyDescent="0.25">
      <c r="A25" s="20" t="s">
        <v>48</v>
      </c>
      <c r="B25" s="91" t="s">
        <v>48</v>
      </c>
      <c r="C25" s="91" t="s">
        <v>49</v>
      </c>
      <c r="D25" s="91" t="s">
        <v>50</v>
      </c>
      <c r="E25" s="96" t="s">
        <v>51</v>
      </c>
      <c r="F25" s="91" t="s">
        <v>52</v>
      </c>
      <c r="G25" s="16"/>
      <c r="H25" s="16"/>
      <c r="I25" s="16"/>
      <c r="J25" s="16"/>
    </row>
    <row r="26" spans="1:10" ht="15.75" thickBot="1" x14ac:dyDescent="0.3">
      <c r="A26" s="30" t="s">
        <v>53</v>
      </c>
      <c r="B26" s="92"/>
      <c r="C26" s="92"/>
      <c r="D26" s="92"/>
      <c r="E26" s="92"/>
      <c r="F26" s="92"/>
      <c r="G26" s="16"/>
      <c r="H26" s="16"/>
      <c r="I26" s="16"/>
      <c r="J26" s="16"/>
    </row>
    <row r="27" spans="1:10" ht="15.75" thickTop="1" x14ac:dyDescent="0.25">
      <c r="A27" s="36"/>
      <c r="B27" s="25"/>
      <c r="C27" s="24"/>
      <c r="D27" s="97" t="s">
        <v>54</v>
      </c>
      <c r="E27" s="77" t="s">
        <v>136</v>
      </c>
      <c r="F27" s="25"/>
      <c r="G27" s="16"/>
      <c r="H27" s="16"/>
      <c r="I27" s="16"/>
      <c r="J27" s="16"/>
    </row>
    <row r="28" spans="1:10" x14ac:dyDescent="0.25">
      <c r="A28" s="33"/>
      <c r="B28" s="28"/>
      <c r="C28" s="27"/>
      <c r="D28" s="98"/>
      <c r="E28" s="78" t="s">
        <v>137</v>
      </c>
      <c r="F28" s="28"/>
      <c r="G28" s="16"/>
      <c r="H28" s="16"/>
      <c r="I28" s="16"/>
      <c r="J28" s="16"/>
    </row>
    <row r="29" spans="1:10" x14ac:dyDescent="0.25">
      <c r="A29" s="35"/>
      <c r="B29" s="43"/>
      <c r="C29" s="27"/>
      <c r="D29" s="98"/>
      <c r="E29" s="78" t="s">
        <v>37</v>
      </c>
      <c r="F29" s="43"/>
      <c r="G29" s="16"/>
      <c r="H29" s="16"/>
      <c r="I29" s="16"/>
      <c r="J29" s="16"/>
    </row>
    <row r="30" spans="1:10" ht="15.75" thickBot="1" x14ac:dyDescent="0.3">
      <c r="A30" s="33"/>
      <c r="B30" s="28"/>
      <c r="C30" s="27"/>
      <c r="D30" s="99"/>
      <c r="E30" s="79" t="s">
        <v>138</v>
      </c>
      <c r="F30" s="28"/>
      <c r="G30" s="16"/>
      <c r="H30" s="16"/>
      <c r="I30" s="16"/>
      <c r="J30" s="16"/>
    </row>
    <row r="31" spans="1:10" ht="15.75" thickTop="1" x14ac:dyDescent="0.25">
      <c r="A31" s="20" t="s">
        <v>55</v>
      </c>
      <c r="B31" s="91" t="s">
        <v>55</v>
      </c>
      <c r="C31" s="91" t="s">
        <v>56</v>
      </c>
      <c r="D31" s="91" t="s">
        <v>57</v>
      </c>
      <c r="E31" s="96"/>
      <c r="F31" s="91" t="s">
        <v>58</v>
      </c>
      <c r="G31" s="16"/>
      <c r="H31" s="16"/>
      <c r="I31" s="16"/>
      <c r="J31" s="16"/>
    </row>
    <row r="32" spans="1:10" ht="15.75" thickBot="1" x14ac:dyDescent="0.3">
      <c r="A32" s="30" t="s">
        <v>59</v>
      </c>
      <c r="B32" s="92"/>
      <c r="C32" s="92"/>
      <c r="D32" s="92"/>
      <c r="E32" s="92"/>
      <c r="F32" s="92"/>
      <c r="G32" s="16"/>
      <c r="H32" s="16"/>
      <c r="I32" s="16"/>
      <c r="J32" s="16"/>
    </row>
    <row r="33" spans="1:10" ht="15.75" thickTop="1" x14ac:dyDescent="0.25">
      <c r="A33" s="36"/>
      <c r="B33" s="37"/>
      <c r="C33" s="32" t="s">
        <v>33</v>
      </c>
      <c r="D33" s="25"/>
      <c r="E33" s="77" t="s">
        <v>136</v>
      </c>
      <c r="F33" s="25"/>
      <c r="G33" s="16"/>
      <c r="H33" s="16"/>
      <c r="I33" s="16"/>
      <c r="J33" s="16"/>
    </row>
    <row r="34" spans="1:10" x14ac:dyDescent="0.25">
      <c r="A34" s="33"/>
      <c r="B34" s="38"/>
      <c r="C34" s="34" t="s">
        <v>34</v>
      </c>
      <c r="D34" s="28"/>
      <c r="E34" s="78" t="s">
        <v>137</v>
      </c>
      <c r="F34" s="28"/>
      <c r="G34" s="16"/>
      <c r="H34" s="16"/>
      <c r="I34" s="16"/>
      <c r="J34" s="16"/>
    </row>
    <row r="35" spans="1:10" x14ac:dyDescent="0.25">
      <c r="A35" s="35"/>
      <c r="B35" s="38"/>
      <c r="C35" s="34" t="s">
        <v>37</v>
      </c>
      <c r="D35" s="43"/>
      <c r="E35" s="78" t="s">
        <v>37</v>
      </c>
      <c r="F35" s="43"/>
      <c r="G35" s="16"/>
      <c r="H35" s="16"/>
      <c r="I35" s="16"/>
      <c r="J35" s="16"/>
    </row>
    <row r="36" spans="1:10" ht="15.75" thickBot="1" x14ac:dyDescent="0.3">
      <c r="A36" s="33"/>
      <c r="B36" s="38"/>
      <c r="C36" s="34" t="s">
        <v>26</v>
      </c>
      <c r="D36" s="28"/>
      <c r="E36" s="79" t="s">
        <v>138</v>
      </c>
      <c r="F36" s="28"/>
      <c r="G36" s="16"/>
      <c r="H36" s="16"/>
      <c r="I36" s="16"/>
      <c r="J36" s="16"/>
    </row>
    <row r="37" spans="1:10" ht="15.75" thickTop="1" x14ac:dyDescent="0.25">
      <c r="A37" s="20" t="s">
        <v>60</v>
      </c>
      <c r="B37" s="91" t="s">
        <v>60</v>
      </c>
      <c r="C37" s="91" t="s">
        <v>61</v>
      </c>
      <c r="D37" s="91" t="s">
        <v>62</v>
      </c>
      <c r="E37" s="96" t="s">
        <v>63</v>
      </c>
      <c r="F37" s="91" t="s">
        <v>64</v>
      </c>
      <c r="G37" s="16"/>
      <c r="H37" s="16"/>
      <c r="I37" s="16"/>
      <c r="J37" s="16"/>
    </row>
    <row r="38" spans="1:10" ht="15.75" thickBot="1" x14ac:dyDescent="0.3">
      <c r="A38" s="30" t="s">
        <v>65</v>
      </c>
      <c r="B38" s="92"/>
      <c r="C38" s="92"/>
      <c r="D38" s="92"/>
      <c r="E38" s="92"/>
      <c r="F38" s="92"/>
      <c r="G38" s="16"/>
      <c r="H38" s="16"/>
      <c r="I38" s="16"/>
      <c r="J38" s="16"/>
    </row>
    <row r="39" spans="1:10" ht="15.75" thickTop="1" x14ac:dyDescent="0.25">
      <c r="A39" s="36"/>
      <c r="B39" s="32" t="s">
        <v>33</v>
      </c>
      <c r="C39" s="32" t="s">
        <v>33</v>
      </c>
      <c r="D39" s="25"/>
      <c r="E39" s="77" t="s">
        <v>136</v>
      </c>
      <c r="F39" s="25"/>
      <c r="G39" s="16"/>
      <c r="H39" s="16"/>
      <c r="I39" s="16"/>
      <c r="J39" s="16"/>
    </row>
    <row r="40" spans="1:10" x14ac:dyDescent="0.25">
      <c r="A40" s="33"/>
      <c r="B40" s="34" t="s">
        <v>34</v>
      </c>
      <c r="C40" s="34" t="s">
        <v>34</v>
      </c>
      <c r="D40" s="28"/>
      <c r="E40" s="78" t="s">
        <v>137</v>
      </c>
      <c r="F40" s="28"/>
      <c r="G40" s="16"/>
      <c r="H40" s="16"/>
      <c r="I40" s="16"/>
      <c r="J40" s="16"/>
    </row>
    <row r="41" spans="1:10" x14ac:dyDescent="0.25">
      <c r="A41" s="35"/>
      <c r="B41" s="34" t="s">
        <v>37</v>
      </c>
      <c r="C41" s="34" t="s">
        <v>37</v>
      </c>
      <c r="D41" s="43"/>
      <c r="E41" s="78" t="s">
        <v>37</v>
      </c>
      <c r="F41" s="43"/>
      <c r="G41" s="16"/>
      <c r="H41" s="16"/>
      <c r="I41" s="16"/>
      <c r="J41" s="16"/>
    </row>
    <row r="42" spans="1:10" ht="15.75" thickBot="1" x14ac:dyDescent="0.3">
      <c r="A42" s="33"/>
      <c r="B42" s="34" t="s">
        <v>26</v>
      </c>
      <c r="C42" s="34" t="s">
        <v>26</v>
      </c>
      <c r="D42" s="28"/>
      <c r="E42" s="79" t="s">
        <v>138</v>
      </c>
      <c r="F42" s="28"/>
      <c r="G42" s="16"/>
      <c r="H42" s="16"/>
      <c r="I42" s="16"/>
      <c r="J42" s="16"/>
    </row>
    <row r="43" spans="1:10" ht="15.75" thickTop="1" x14ac:dyDescent="0.25">
      <c r="A43" s="20" t="s">
        <v>66</v>
      </c>
      <c r="B43" s="91" t="s">
        <v>66</v>
      </c>
      <c r="C43" s="91" t="s">
        <v>67</v>
      </c>
      <c r="D43" s="91" t="s">
        <v>68</v>
      </c>
      <c r="E43" s="96" t="s">
        <v>69</v>
      </c>
      <c r="F43" s="96" t="s">
        <v>70</v>
      </c>
      <c r="G43" s="16"/>
      <c r="H43" s="16"/>
      <c r="I43" s="16"/>
      <c r="J43" s="16"/>
    </row>
    <row r="44" spans="1:10" ht="15.75" thickBot="1" x14ac:dyDescent="0.3">
      <c r="A44" s="30" t="s">
        <v>71</v>
      </c>
      <c r="B44" s="92"/>
      <c r="C44" s="92"/>
      <c r="D44" s="92"/>
      <c r="E44" s="92"/>
      <c r="F44" s="92"/>
      <c r="G44" s="16"/>
      <c r="H44" s="16"/>
      <c r="I44" s="16"/>
      <c r="J44" s="16"/>
    </row>
    <row r="45" spans="1:10" ht="15.75" thickTop="1" x14ac:dyDescent="0.25">
      <c r="A45" s="36"/>
      <c r="B45" s="37"/>
      <c r="C45" s="32" t="s">
        <v>33</v>
      </c>
      <c r="D45" s="25"/>
      <c r="E45" s="77" t="s">
        <v>136</v>
      </c>
      <c r="F45" s="25"/>
      <c r="G45" s="16"/>
      <c r="H45" s="16"/>
      <c r="I45" s="16"/>
      <c r="J45" s="16"/>
    </row>
    <row r="46" spans="1:10" x14ac:dyDescent="0.25">
      <c r="A46" s="33"/>
      <c r="B46" s="38"/>
      <c r="C46" s="34" t="s">
        <v>34</v>
      </c>
      <c r="D46" s="28"/>
      <c r="E46" s="78" t="s">
        <v>137</v>
      </c>
      <c r="F46" s="28"/>
      <c r="G46" s="16"/>
      <c r="H46" s="16"/>
      <c r="I46" s="16"/>
      <c r="J46" s="16"/>
    </row>
    <row r="47" spans="1:10" x14ac:dyDescent="0.25">
      <c r="A47" s="35"/>
      <c r="B47" s="38"/>
      <c r="C47" s="34" t="s">
        <v>37</v>
      </c>
      <c r="D47" s="43"/>
      <c r="E47" s="78" t="s">
        <v>37</v>
      </c>
      <c r="F47" s="43"/>
      <c r="G47" s="16"/>
      <c r="H47" s="16"/>
      <c r="I47" s="16"/>
      <c r="J47" s="16"/>
    </row>
    <row r="48" spans="1:10" ht="15.75" thickBot="1" x14ac:dyDescent="0.3">
      <c r="A48" s="33"/>
      <c r="B48" s="38"/>
      <c r="C48" s="34" t="s">
        <v>26</v>
      </c>
      <c r="D48" s="28"/>
      <c r="E48" s="79" t="s">
        <v>138</v>
      </c>
      <c r="F48" s="28"/>
      <c r="G48" s="16"/>
      <c r="H48" s="16"/>
      <c r="I48" s="16"/>
      <c r="J48" s="16"/>
    </row>
    <row r="49" spans="1:10" ht="15.75" thickTop="1" x14ac:dyDescent="0.25">
      <c r="A49" s="20" t="s">
        <v>72</v>
      </c>
      <c r="B49" s="91" t="s">
        <v>72</v>
      </c>
      <c r="C49" s="91" t="s">
        <v>73</v>
      </c>
      <c r="D49" s="91" t="s">
        <v>74</v>
      </c>
      <c r="E49" s="96" t="s">
        <v>75</v>
      </c>
      <c r="F49" s="91" t="s">
        <v>76</v>
      </c>
      <c r="G49" s="16"/>
      <c r="H49" s="16"/>
      <c r="I49" s="16"/>
      <c r="J49" s="16"/>
    </row>
    <row r="50" spans="1:10" ht="15.75" thickBot="1" x14ac:dyDescent="0.3">
      <c r="A50" s="30" t="s">
        <v>77</v>
      </c>
      <c r="B50" s="92"/>
      <c r="C50" s="92"/>
      <c r="D50" s="92"/>
      <c r="E50" s="92"/>
      <c r="F50" s="92"/>
      <c r="G50" s="16"/>
      <c r="H50" s="16"/>
      <c r="I50" s="16"/>
      <c r="J50" s="16"/>
    </row>
    <row r="51" spans="1:10" ht="15.75" thickTop="1" x14ac:dyDescent="0.25">
      <c r="A51" s="36"/>
      <c r="B51" s="37"/>
      <c r="C51" s="32" t="s">
        <v>33</v>
      </c>
      <c r="D51" s="25"/>
      <c r="E51" s="77" t="s">
        <v>136</v>
      </c>
      <c r="F51" s="25"/>
      <c r="G51" s="16"/>
      <c r="H51" s="16"/>
      <c r="I51" s="16"/>
      <c r="J51" s="16"/>
    </row>
    <row r="52" spans="1:10" x14ac:dyDescent="0.25">
      <c r="A52" s="33"/>
      <c r="B52" s="38"/>
      <c r="C52" s="34" t="s">
        <v>34</v>
      </c>
      <c r="D52" s="28"/>
      <c r="E52" s="78" t="s">
        <v>137</v>
      </c>
      <c r="F52" s="28"/>
      <c r="G52" s="16"/>
      <c r="H52" s="16"/>
      <c r="I52" s="16"/>
      <c r="J52" s="16"/>
    </row>
    <row r="53" spans="1:10" x14ac:dyDescent="0.25">
      <c r="A53" s="35"/>
      <c r="B53" s="38"/>
      <c r="C53" s="34" t="s">
        <v>37</v>
      </c>
      <c r="D53" s="43"/>
      <c r="E53" s="78" t="s">
        <v>37</v>
      </c>
      <c r="F53" s="43"/>
      <c r="G53" s="16"/>
      <c r="H53" s="16"/>
      <c r="I53" s="16"/>
      <c r="J53" s="16"/>
    </row>
    <row r="54" spans="1:10" ht="15.75" thickBot="1" x14ac:dyDescent="0.3">
      <c r="A54" s="33"/>
      <c r="B54" s="38"/>
      <c r="C54" s="34" t="s">
        <v>26</v>
      </c>
      <c r="D54" s="28"/>
      <c r="E54" s="79" t="s">
        <v>138</v>
      </c>
      <c r="F54" s="28"/>
      <c r="G54" s="16"/>
      <c r="H54" s="16"/>
      <c r="I54" s="16"/>
      <c r="J54" s="16"/>
    </row>
    <row r="55" spans="1:10" ht="15.75" thickTop="1" x14ac:dyDescent="0.25">
      <c r="A55" s="20" t="s">
        <v>78</v>
      </c>
      <c r="B55" s="91" t="s">
        <v>78</v>
      </c>
      <c r="C55" s="91" t="s">
        <v>79</v>
      </c>
      <c r="D55" s="91" t="s">
        <v>80</v>
      </c>
      <c r="E55" s="96" t="s">
        <v>81</v>
      </c>
      <c r="F55" s="91" t="s">
        <v>82</v>
      </c>
      <c r="G55" s="16"/>
      <c r="H55" s="16"/>
      <c r="I55" s="16"/>
      <c r="J55" s="16"/>
    </row>
    <row r="56" spans="1:10" ht="15.75" thickBot="1" x14ac:dyDescent="0.3">
      <c r="A56" s="30" t="s">
        <v>83</v>
      </c>
      <c r="B56" s="92"/>
      <c r="C56" s="92"/>
      <c r="D56" s="92"/>
      <c r="E56" s="92"/>
      <c r="F56" s="92"/>
      <c r="G56" s="16"/>
      <c r="H56" s="16"/>
      <c r="I56" s="39"/>
      <c r="J56" s="16"/>
    </row>
    <row r="57" spans="1:10" ht="15.75" thickTop="1" x14ac:dyDescent="0.25">
      <c r="A57" s="40"/>
      <c r="B57" s="37"/>
      <c r="C57" s="32" t="s">
        <v>33</v>
      </c>
      <c r="D57" s="25"/>
      <c r="E57" s="77" t="s">
        <v>136</v>
      </c>
      <c r="F57" s="25"/>
      <c r="G57" s="16"/>
      <c r="H57" s="16"/>
      <c r="I57" s="16"/>
      <c r="J57" s="16"/>
    </row>
    <row r="58" spans="1:10" x14ac:dyDescent="0.25">
      <c r="A58" s="41"/>
      <c r="B58" s="38"/>
      <c r="C58" s="34" t="s">
        <v>34</v>
      </c>
      <c r="D58" s="28"/>
      <c r="E58" s="78" t="s">
        <v>137</v>
      </c>
      <c r="F58" s="28"/>
      <c r="G58" s="16"/>
      <c r="H58" s="16"/>
      <c r="I58" s="16"/>
      <c r="J58" s="16"/>
    </row>
    <row r="59" spans="1:10" x14ac:dyDescent="0.25">
      <c r="A59" s="42"/>
      <c r="B59" s="38"/>
      <c r="C59" s="34" t="s">
        <v>37</v>
      </c>
      <c r="D59" s="43"/>
      <c r="E59" s="78" t="s">
        <v>37</v>
      </c>
      <c r="F59" s="43"/>
      <c r="G59" s="16"/>
      <c r="H59" s="16"/>
      <c r="I59" s="16"/>
      <c r="J59" s="16"/>
    </row>
    <row r="60" spans="1:10" ht="15.75" thickBot="1" x14ac:dyDescent="0.3">
      <c r="A60" s="41"/>
      <c r="B60" s="38"/>
      <c r="C60" s="34" t="s">
        <v>26</v>
      </c>
      <c r="D60" s="28"/>
      <c r="E60" s="79" t="s">
        <v>138</v>
      </c>
      <c r="F60" s="28"/>
      <c r="G60" s="16"/>
      <c r="H60" s="16"/>
      <c r="I60" s="16"/>
      <c r="J60" s="16"/>
    </row>
    <row r="61" spans="1:10" ht="15.75" thickTop="1" x14ac:dyDescent="0.25">
      <c r="A61" s="20" t="s">
        <v>84</v>
      </c>
      <c r="B61" s="91" t="s">
        <v>84</v>
      </c>
      <c r="C61" s="91" t="s">
        <v>85</v>
      </c>
      <c r="D61" s="91" t="s">
        <v>86</v>
      </c>
      <c r="E61" s="96" t="s">
        <v>87</v>
      </c>
      <c r="F61" s="91" t="s">
        <v>88</v>
      </c>
      <c r="G61" s="16"/>
      <c r="H61" s="16"/>
      <c r="I61" s="16"/>
      <c r="J61" s="16"/>
    </row>
    <row r="62" spans="1:10" ht="15.75" thickBot="1" x14ac:dyDescent="0.3">
      <c r="A62" s="30" t="s">
        <v>89</v>
      </c>
      <c r="B62" s="92"/>
      <c r="C62" s="92"/>
      <c r="D62" s="92"/>
      <c r="E62" s="92"/>
      <c r="F62" s="92"/>
      <c r="G62" s="16"/>
      <c r="H62" s="16"/>
      <c r="I62" s="16"/>
      <c r="J62" s="16"/>
    </row>
    <row r="63" spans="1:10" ht="15.75" thickTop="1" x14ac:dyDescent="0.25">
      <c r="A63" s="40"/>
      <c r="B63" s="25"/>
      <c r="C63" s="32" t="s">
        <v>33</v>
      </c>
      <c r="D63" s="25"/>
      <c r="E63" s="77" t="s">
        <v>136</v>
      </c>
      <c r="F63" s="25"/>
      <c r="G63" s="16"/>
      <c r="H63" s="16"/>
      <c r="I63" s="16"/>
      <c r="J63" s="16"/>
    </row>
    <row r="64" spans="1:10" x14ac:dyDescent="0.25">
      <c r="A64" s="41"/>
      <c r="B64" s="28"/>
      <c r="C64" s="34" t="s">
        <v>34</v>
      </c>
      <c r="D64" s="28"/>
      <c r="E64" s="78" t="s">
        <v>137</v>
      </c>
      <c r="F64" s="28"/>
      <c r="G64" s="16"/>
      <c r="H64" s="16"/>
      <c r="I64" s="16"/>
      <c r="J64" s="16"/>
    </row>
    <row r="65" spans="1:10" x14ac:dyDescent="0.25">
      <c r="A65" s="42"/>
      <c r="B65" s="43"/>
      <c r="C65" s="34" t="s">
        <v>37</v>
      </c>
      <c r="D65" s="43"/>
      <c r="E65" s="78" t="s">
        <v>37</v>
      </c>
      <c r="F65" s="43"/>
      <c r="G65" s="16"/>
      <c r="H65" s="16"/>
      <c r="I65" s="16"/>
      <c r="J65" s="16"/>
    </row>
    <row r="66" spans="1:10" ht="15.75" thickBot="1" x14ac:dyDescent="0.3">
      <c r="A66" s="41"/>
      <c r="B66" s="28"/>
      <c r="C66" s="34" t="s">
        <v>26</v>
      </c>
      <c r="D66" s="28"/>
      <c r="E66" s="79" t="s">
        <v>138</v>
      </c>
      <c r="F66" s="28"/>
      <c r="G66" s="16"/>
      <c r="H66" s="16"/>
      <c r="I66" s="16"/>
      <c r="J66" s="16"/>
    </row>
    <row r="67" spans="1:10" ht="15.75" thickTop="1" x14ac:dyDescent="0.25">
      <c r="A67" s="20" t="s">
        <v>90</v>
      </c>
      <c r="B67" s="91" t="s">
        <v>90</v>
      </c>
      <c r="C67" s="91" t="s">
        <v>91</v>
      </c>
      <c r="D67" s="91" t="s">
        <v>92</v>
      </c>
      <c r="E67" s="96" t="s">
        <v>93</v>
      </c>
      <c r="F67" s="91" t="s">
        <v>94</v>
      </c>
      <c r="G67" s="16"/>
      <c r="H67" s="16"/>
      <c r="I67" s="16"/>
      <c r="J67" s="16"/>
    </row>
    <row r="68" spans="1:10" ht="15.75" thickBot="1" x14ac:dyDescent="0.3">
      <c r="A68" s="30"/>
      <c r="B68" s="92"/>
      <c r="C68" s="92"/>
      <c r="D68" s="92"/>
      <c r="E68" s="92"/>
      <c r="F68" s="92"/>
      <c r="G68" s="16"/>
      <c r="H68" s="16"/>
      <c r="I68" s="16"/>
      <c r="J68" s="16"/>
    </row>
    <row r="69" spans="1:10" ht="15.75" thickTop="1" x14ac:dyDescent="0.25">
      <c r="A69" s="40"/>
      <c r="B69" s="44"/>
      <c r="C69" s="45"/>
      <c r="D69" s="45"/>
      <c r="E69" s="45"/>
      <c r="F69" s="45"/>
      <c r="G69" s="16"/>
      <c r="H69" s="16"/>
      <c r="I69" s="16"/>
      <c r="J69" s="16"/>
    </row>
    <row r="70" spans="1:10" x14ac:dyDescent="0.25">
      <c r="A70" s="41"/>
      <c r="B70" s="46"/>
      <c r="C70" s="47"/>
      <c r="D70" s="47"/>
      <c r="E70" s="47"/>
      <c r="F70" s="47"/>
      <c r="G70" s="16"/>
      <c r="H70" s="16"/>
      <c r="I70" s="16"/>
      <c r="J70" s="16"/>
    </row>
    <row r="71" spans="1:10" x14ac:dyDescent="0.25">
      <c r="A71" s="42"/>
      <c r="B71" s="48" t="s">
        <v>95</v>
      </c>
      <c r="C71" s="48" t="s">
        <v>95</v>
      </c>
      <c r="D71" s="48" t="s">
        <v>95</v>
      </c>
      <c r="E71" s="48" t="s">
        <v>95</v>
      </c>
      <c r="F71" s="48" t="s">
        <v>95</v>
      </c>
      <c r="G71" s="16"/>
      <c r="H71" s="16"/>
      <c r="I71" s="16"/>
      <c r="J71" s="16"/>
    </row>
    <row r="72" spans="1:10" ht="15.75" thickBot="1" x14ac:dyDescent="0.3">
      <c r="A72" s="41"/>
      <c r="B72" s="46"/>
      <c r="C72" s="47"/>
      <c r="D72" s="47"/>
      <c r="E72" s="47"/>
      <c r="F72" s="47"/>
      <c r="G72" s="16"/>
      <c r="H72" s="16"/>
      <c r="I72" s="16"/>
      <c r="J72" s="16"/>
    </row>
    <row r="73" spans="1:10" ht="15.75" thickTop="1" x14ac:dyDescent="0.25">
      <c r="A73" s="20" t="s">
        <v>96</v>
      </c>
      <c r="B73" s="91" t="s">
        <v>96</v>
      </c>
      <c r="C73" s="91" t="s">
        <v>97</v>
      </c>
      <c r="D73" s="91" t="s">
        <v>98</v>
      </c>
      <c r="E73" s="91" t="s">
        <v>99</v>
      </c>
      <c r="F73" s="91" t="s">
        <v>100</v>
      </c>
      <c r="G73" s="16"/>
      <c r="H73" s="16"/>
      <c r="I73" s="16"/>
      <c r="J73" s="16"/>
    </row>
    <row r="74" spans="1:10" ht="15.75" thickBot="1" x14ac:dyDescent="0.3">
      <c r="A74" s="30"/>
      <c r="B74" s="92"/>
      <c r="C74" s="92"/>
      <c r="D74" s="92"/>
      <c r="E74" s="92"/>
      <c r="F74" s="92"/>
      <c r="G74" s="16"/>
      <c r="H74" s="16"/>
      <c r="I74" s="16"/>
      <c r="J74" s="16"/>
    </row>
    <row r="75" spans="1:10" ht="15.75" thickTop="1" x14ac:dyDescent="0.25">
      <c r="A75" s="40"/>
      <c r="B75" s="45"/>
      <c r="C75" s="45"/>
      <c r="D75" s="45"/>
      <c r="E75" s="45"/>
      <c r="F75" s="45"/>
      <c r="G75" s="16"/>
      <c r="H75" s="16"/>
      <c r="I75" s="16"/>
      <c r="J75" s="16"/>
    </row>
    <row r="76" spans="1:10" x14ac:dyDescent="0.25">
      <c r="A76" s="41"/>
      <c r="B76" s="47"/>
      <c r="C76" s="48"/>
      <c r="D76" s="47"/>
      <c r="E76" s="47"/>
      <c r="F76" s="47"/>
      <c r="G76" s="16"/>
      <c r="H76" s="16"/>
      <c r="I76" s="16"/>
      <c r="J76" s="16"/>
    </row>
    <row r="77" spans="1:10" x14ac:dyDescent="0.25">
      <c r="A77" s="42"/>
      <c r="B77" s="48" t="s">
        <v>95</v>
      </c>
      <c r="C77" s="48" t="s">
        <v>95</v>
      </c>
      <c r="D77" s="48" t="s">
        <v>95</v>
      </c>
      <c r="E77" s="48" t="s">
        <v>95</v>
      </c>
      <c r="F77" s="48" t="s">
        <v>95</v>
      </c>
      <c r="G77" s="16"/>
      <c r="H77" s="16"/>
      <c r="I77" s="16"/>
      <c r="J77" s="16"/>
    </row>
    <row r="78" spans="1:10" ht="15.75" thickBot="1" x14ac:dyDescent="0.3">
      <c r="A78" s="49"/>
      <c r="B78" s="47"/>
      <c r="C78" s="47"/>
      <c r="D78" s="47"/>
      <c r="E78" s="47"/>
      <c r="F78" s="47"/>
      <c r="G78" s="16"/>
      <c r="H78" s="16"/>
      <c r="I78" s="16"/>
      <c r="J78" s="16"/>
    </row>
    <row r="79" spans="1:10" ht="15.75" thickTop="1" x14ac:dyDescent="0.25">
      <c r="A79" s="20" t="s">
        <v>101</v>
      </c>
      <c r="B79" s="91" t="s">
        <v>101</v>
      </c>
      <c r="C79" s="91" t="s">
        <v>102</v>
      </c>
      <c r="D79" s="91" t="s">
        <v>103</v>
      </c>
      <c r="E79" s="91" t="s">
        <v>104</v>
      </c>
      <c r="F79" s="91" t="s">
        <v>105</v>
      </c>
      <c r="G79" s="16"/>
      <c r="H79" s="16"/>
      <c r="I79" s="16"/>
      <c r="J79" s="16"/>
    </row>
    <row r="80" spans="1:10" ht="15.75" thickBot="1" x14ac:dyDescent="0.3">
      <c r="A80" s="30" t="s">
        <v>106</v>
      </c>
      <c r="B80" s="92"/>
      <c r="C80" s="92"/>
      <c r="D80" s="92"/>
      <c r="E80" s="92"/>
      <c r="F80" s="92"/>
      <c r="G80" s="16"/>
      <c r="H80" s="16"/>
      <c r="I80" s="16"/>
      <c r="J80" s="16"/>
    </row>
    <row r="81" spans="1:10" ht="15.75" thickTop="1" x14ac:dyDescent="0.25">
      <c r="A81" s="50"/>
      <c r="B81" s="45"/>
      <c r="C81" s="32" t="s">
        <v>33</v>
      </c>
      <c r="D81" s="25"/>
      <c r="E81" s="77" t="s">
        <v>136</v>
      </c>
      <c r="F81" s="25"/>
      <c r="G81" s="16"/>
      <c r="H81" s="16"/>
      <c r="I81" s="16"/>
      <c r="J81" s="16"/>
    </row>
    <row r="82" spans="1:10" x14ac:dyDescent="0.25">
      <c r="A82" s="51"/>
      <c r="B82" s="47"/>
      <c r="C82" s="34" t="s">
        <v>34</v>
      </c>
      <c r="D82" s="28"/>
      <c r="E82" s="78" t="s">
        <v>137</v>
      </c>
      <c r="F82" s="28"/>
      <c r="G82" s="52"/>
      <c r="H82" s="16"/>
      <c r="I82" s="16"/>
      <c r="J82" s="16"/>
    </row>
    <row r="83" spans="1:10" x14ac:dyDescent="0.25">
      <c r="A83" s="53"/>
      <c r="B83" s="48" t="s">
        <v>95</v>
      </c>
      <c r="C83" s="34" t="s">
        <v>37</v>
      </c>
      <c r="D83" s="43"/>
      <c r="E83" s="78" t="s">
        <v>37</v>
      </c>
      <c r="F83" s="43"/>
      <c r="G83" s="16"/>
      <c r="H83" s="16"/>
      <c r="I83" s="16"/>
      <c r="J83" s="16"/>
    </row>
    <row r="84" spans="1:10" ht="15.75" thickBot="1" x14ac:dyDescent="0.3">
      <c r="A84" s="51"/>
      <c r="B84" s="47"/>
      <c r="C84" s="34" t="s">
        <v>26</v>
      </c>
      <c r="D84" s="28"/>
      <c r="E84" s="79" t="s">
        <v>138</v>
      </c>
      <c r="F84" s="28"/>
      <c r="G84" s="16"/>
      <c r="H84" s="16"/>
      <c r="I84" s="16"/>
      <c r="J84" s="16"/>
    </row>
    <row r="85" spans="1:10" ht="15.75" thickTop="1" x14ac:dyDescent="0.25">
      <c r="A85" s="20" t="s">
        <v>107</v>
      </c>
      <c r="B85" s="21" t="s">
        <v>107</v>
      </c>
      <c r="C85" s="21" t="s">
        <v>108</v>
      </c>
      <c r="D85" s="21" t="s">
        <v>109</v>
      </c>
      <c r="E85" s="21" t="s">
        <v>110</v>
      </c>
      <c r="F85" s="21" t="s">
        <v>111</v>
      </c>
      <c r="G85" s="16"/>
      <c r="H85" s="16"/>
      <c r="I85" s="16"/>
      <c r="J85" s="16"/>
    </row>
    <row r="86" spans="1:10" ht="15.75" thickBot="1" x14ac:dyDescent="0.3">
      <c r="A86" s="30" t="s">
        <v>112</v>
      </c>
      <c r="B86" s="54"/>
      <c r="C86" s="54"/>
      <c r="D86" s="54"/>
      <c r="E86" s="54"/>
      <c r="F86" s="54"/>
      <c r="G86" s="16"/>
      <c r="H86" s="16"/>
      <c r="I86" s="16"/>
      <c r="J86" s="16"/>
    </row>
    <row r="87" spans="1:10" ht="15.75" thickTop="1" x14ac:dyDescent="0.25">
      <c r="A87" s="93"/>
      <c r="B87" s="32" t="s">
        <v>33</v>
      </c>
      <c r="C87" s="32" t="s">
        <v>33</v>
      </c>
      <c r="D87" s="25"/>
      <c r="E87" s="77" t="s">
        <v>136</v>
      </c>
      <c r="F87" s="25"/>
      <c r="G87" s="86"/>
      <c r="H87" s="86"/>
      <c r="I87" s="86"/>
      <c r="J87" s="86"/>
    </row>
    <row r="88" spans="1:10" x14ac:dyDescent="0.25">
      <c r="A88" s="94"/>
      <c r="B88" s="34" t="s">
        <v>34</v>
      </c>
      <c r="C88" s="34" t="s">
        <v>34</v>
      </c>
      <c r="D88" s="28"/>
      <c r="E88" s="78" t="s">
        <v>137</v>
      </c>
      <c r="F88" s="28"/>
      <c r="G88" s="86"/>
      <c r="H88" s="86"/>
      <c r="I88" s="86"/>
      <c r="J88" s="86"/>
    </row>
    <row r="89" spans="1:10" x14ac:dyDescent="0.25">
      <c r="A89" s="94"/>
      <c r="B89" s="34" t="s">
        <v>37</v>
      </c>
      <c r="C89" s="34" t="s">
        <v>37</v>
      </c>
      <c r="D89" s="43"/>
      <c r="E89" s="78" t="s">
        <v>37</v>
      </c>
      <c r="F89" s="43"/>
      <c r="G89" s="86"/>
      <c r="H89" s="86"/>
      <c r="I89" s="86"/>
      <c r="J89" s="86"/>
    </row>
    <row r="90" spans="1:10" ht="15.75" thickBot="1" x14ac:dyDescent="0.3">
      <c r="A90" s="95"/>
      <c r="B90" s="34" t="s">
        <v>26</v>
      </c>
      <c r="C90" s="34" t="s">
        <v>26</v>
      </c>
      <c r="D90" s="28"/>
      <c r="E90" s="79" t="s">
        <v>138</v>
      </c>
      <c r="F90" s="28"/>
      <c r="G90" s="86"/>
      <c r="H90" s="86"/>
      <c r="I90" s="86"/>
      <c r="J90" s="86"/>
    </row>
    <row r="91" spans="1:10" ht="15.75" thickTop="1" x14ac:dyDescent="0.25">
      <c r="A91" s="20" t="s">
        <v>113</v>
      </c>
      <c r="B91" s="21" t="s">
        <v>113</v>
      </c>
      <c r="C91" s="21" t="s">
        <v>114</v>
      </c>
      <c r="D91" s="21" t="s">
        <v>115</v>
      </c>
      <c r="E91" s="21" t="s">
        <v>116</v>
      </c>
      <c r="F91" s="21" t="s">
        <v>117</v>
      </c>
      <c r="G91" s="16"/>
      <c r="H91" s="16"/>
      <c r="I91" s="16"/>
      <c r="J91" s="16"/>
    </row>
    <row r="92" spans="1:10" ht="15.75" thickBot="1" x14ac:dyDescent="0.3">
      <c r="A92" s="30" t="s">
        <v>118</v>
      </c>
      <c r="B92" s="54"/>
      <c r="C92" s="54"/>
      <c r="D92" s="54"/>
      <c r="E92" s="54"/>
      <c r="F92" s="54"/>
      <c r="G92" s="16"/>
      <c r="H92" s="16"/>
      <c r="I92" s="16"/>
      <c r="J92" s="16"/>
    </row>
    <row r="93" spans="1:10" ht="15.75" thickTop="1" x14ac:dyDescent="0.25">
      <c r="A93" s="50"/>
      <c r="B93" s="37"/>
      <c r="C93" s="32" t="s">
        <v>33</v>
      </c>
      <c r="D93" s="25"/>
      <c r="E93" s="77" t="s">
        <v>136</v>
      </c>
      <c r="F93" s="25"/>
      <c r="G93" s="16"/>
      <c r="H93" s="16"/>
      <c r="I93" s="16"/>
      <c r="J93" s="16"/>
    </row>
    <row r="94" spans="1:10" x14ac:dyDescent="0.25">
      <c r="A94" s="51"/>
      <c r="B94" s="38"/>
      <c r="C94" s="34" t="s">
        <v>34</v>
      </c>
      <c r="D94" s="28"/>
      <c r="E94" s="78" t="s">
        <v>137</v>
      </c>
      <c r="F94" s="28"/>
      <c r="G94" s="52"/>
      <c r="H94" s="16"/>
      <c r="I94" s="16"/>
      <c r="J94" s="16"/>
    </row>
    <row r="95" spans="1:10" x14ac:dyDescent="0.25">
      <c r="A95" s="53"/>
      <c r="B95" s="38"/>
      <c r="C95" s="34" t="s">
        <v>37</v>
      </c>
      <c r="D95" s="43"/>
      <c r="E95" s="78" t="s">
        <v>37</v>
      </c>
      <c r="F95" s="43"/>
      <c r="G95" s="16"/>
      <c r="H95" s="16"/>
      <c r="I95" s="16"/>
      <c r="J95" s="16"/>
    </row>
    <row r="96" spans="1:10" ht="15.75" thickBot="1" x14ac:dyDescent="0.3">
      <c r="A96" s="51"/>
      <c r="B96" s="55"/>
      <c r="C96" s="56" t="s">
        <v>26</v>
      </c>
      <c r="D96" s="28"/>
      <c r="E96" s="79" t="s">
        <v>138</v>
      </c>
      <c r="F96" s="28"/>
      <c r="G96" s="16"/>
      <c r="H96" s="16"/>
      <c r="I96" s="16"/>
      <c r="J96" s="16"/>
    </row>
    <row r="97" spans="1:10" ht="15.75" thickTop="1" x14ac:dyDescent="0.25">
      <c r="A97" s="16"/>
      <c r="B97" s="16"/>
      <c r="C97" s="16"/>
      <c r="D97" s="16"/>
      <c r="E97" s="16"/>
      <c r="F97" s="16"/>
      <c r="G97" s="16"/>
      <c r="H97" s="16"/>
      <c r="I97" s="16"/>
      <c r="J97" s="16"/>
    </row>
    <row r="98" spans="1:10" x14ac:dyDescent="0.25">
      <c r="A98" s="57"/>
      <c r="B98" s="57"/>
      <c r="C98" s="57"/>
      <c r="D98" s="57"/>
      <c r="E98" s="57"/>
      <c r="F98" s="57"/>
      <c r="G98" s="16"/>
      <c r="H98" s="16"/>
      <c r="I98" s="16"/>
      <c r="J98" s="16"/>
    </row>
    <row r="99" spans="1:10" x14ac:dyDescent="0.25">
      <c r="A99" s="57"/>
      <c r="B99" s="57"/>
      <c r="C99" s="57"/>
      <c r="D99" s="57"/>
      <c r="E99" s="57"/>
      <c r="F99" s="57"/>
      <c r="G99" s="16"/>
      <c r="H99" s="16"/>
      <c r="I99" s="16"/>
      <c r="J99" s="16"/>
    </row>
    <row r="100" spans="1:10" ht="38.25" x14ac:dyDescent="0.25">
      <c r="A100" s="58" t="s">
        <v>119</v>
      </c>
      <c r="B100" s="87" t="s">
        <v>120</v>
      </c>
      <c r="C100" s="88"/>
      <c r="D100" s="59" t="s">
        <v>121</v>
      </c>
      <c r="E100" s="59" t="s">
        <v>122</v>
      </c>
      <c r="F100" s="60" t="s">
        <v>123</v>
      </c>
      <c r="G100" s="16"/>
      <c r="H100" s="16"/>
      <c r="I100" s="16"/>
      <c r="J100" s="16"/>
    </row>
    <row r="101" spans="1:10" ht="25.5" customHeight="1" x14ac:dyDescent="0.25">
      <c r="A101" s="61" t="s">
        <v>36</v>
      </c>
      <c r="B101" s="89" t="s">
        <v>124</v>
      </c>
      <c r="C101" s="90"/>
      <c r="D101" s="62" t="s">
        <v>125</v>
      </c>
      <c r="E101" s="63" t="s">
        <v>39</v>
      </c>
      <c r="F101" s="64" t="s">
        <v>126</v>
      </c>
      <c r="G101" s="16"/>
      <c r="H101" s="16"/>
      <c r="I101" s="16"/>
      <c r="J101" s="16"/>
    </row>
    <row r="102" spans="1:10" ht="25.5" customHeight="1" x14ac:dyDescent="0.25">
      <c r="A102" s="65" t="s">
        <v>34</v>
      </c>
      <c r="B102" s="80" t="s">
        <v>127</v>
      </c>
      <c r="C102" s="81"/>
      <c r="D102" s="66" t="s">
        <v>128</v>
      </c>
      <c r="E102" s="67" t="s">
        <v>37</v>
      </c>
      <c r="F102" s="68" t="s">
        <v>129</v>
      </c>
      <c r="G102" s="16"/>
      <c r="H102" s="16"/>
      <c r="I102" s="16"/>
      <c r="J102" s="16"/>
    </row>
    <row r="103" spans="1:10" ht="25.5" customHeight="1" x14ac:dyDescent="0.25">
      <c r="A103" s="69" t="s">
        <v>35</v>
      </c>
      <c r="B103" s="82" t="s">
        <v>130</v>
      </c>
      <c r="C103" s="83"/>
      <c r="D103" s="70" t="s">
        <v>125</v>
      </c>
      <c r="E103" s="71" t="s">
        <v>38</v>
      </c>
      <c r="F103" s="72" t="s">
        <v>131</v>
      </c>
      <c r="G103" s="16"/>
      <c r="H103" s="16"/>
      <c r="I103" s="16"/>
      <c r="J103" s="16"/>
    </row>
    <row r="104" spans="1:10" ht="25.5" customHeight="1" x14ac:dyDescent="0.25">
      <c r="A104" s="73" t="s">
        <v>46</v>
      </c>
      <c r="B104" s="84" t="s">
        <v>132</v>
      </c>
      <c r="C104" s="85"/>
      <c r="D104" s="74" t="s">
        <v>133</v>
      </c>
      <c r="E104" s="75" t="s">
        <v>47</v>
      </c>
      <c r="F104" s="74" t="s">
        <v>6</v>
      </c>
      <c r="G104" s="16"/>
      <c r="H104" s="16"/>
      <c r="I104" s="16"/>
      <c r="J104" s="16"/>
    </row>
    <row r="105" spans="1:10" ht="15.75" x14ac:dyDescent="0.25">
      <c r="A105" s="16"/>
      <c r="B105" s="76"/>
      <c r="C105" s="76"/>
      <c r="D105" s="76"/>
      <c r="E105" s="76"/>
      <c r="F105" s="76"/>
      <c r="G105" s="16"/>
      <c r="H105" s="16"/>
      <c r="I105" s="16"/>
      <c r="J105" s="16"/>
    </row>
    <row r="106" spans="1:10" ht="15.75" x14ac:dyDescent="0.25">
      <c r="A106" s="16"/>
      <c r="B106" s="76"/>
      <c r="C106" s="76"/>
      <c r="D106" s="76"/>
      <c r="E106" s="76"/>
      <c r="F106" s="76"/>
      <c r="G106" s="16"/>
      <c r="H106" s="16"/>
      <c r="I106" s="16"/>
      <c r="J106" s="16"/>
    </row>
    <row r="107" spans="1:10" ht="15.75" x14ac:dyDescent="0.25">
      <c r="A107" s="76" t="s">
        <v>134</v>
      </c>
      <c r="B107" s="76" t="s">
        <v>135</v>
      </c>
      <c r="C107" s="76"/>
      <c r="D107" s="76"/>
      <c r="E107" s="76"/>
      <c r="F107" s="76"/>
      <c r="G107" s="16"/>
      <c r="H107" s="16"/>
      <c r="I107" s="16"/>
      <c r="J107" s="16"/>
    </row>
  </sheetData>
  <mergeCells count="86">
    <mergeCell ref="J2:J3"/>
    <mergeCell ref="A2:F2"/>
    <mergeCell ref="A3:F3"/>
    <mergeCell ref="G2:G3"/>
    <mergeCell ref="H2:H3"/>
    <mergeCell ref="I2:I3"/>
    <mergeCell ref="A4:F4"/>
    <mergeCell ref="A5:F5"/>
    <mergeCell ref="B7:B8"/>
    <mergeCell ref="C7:C8"/>
    <mergeCell ref="D7:D8"/>
    <mergeCell ref="E7:E8"/>
    <mergeCell ref="F7:F8"/>
    <mergeCell ref="F19:F20"/>
    <mergeCell ref="G22:J22"/>
    <mergeCell ref="B9:B12"/>
    <mergeCell ref="B13:B14"/>
    <mergeCell ref="C13:C14"/>
    <mergeCell ref="D13:D14"/>
    <mergeCell ref="E13:E14"/>
    <mergeCell ref="F13:F14"/>
    <mergeCell ref="D27:D30"/>
    <mergeCell ref="B19:B20"/>
    <mergeCell ref="C19:C20"/>
    <mergeCell ref="D19:D20"/>
    <mergeCell ref="E19:E20"/>
    <mergeCell ref="B25:B26"/>
    <mergeCell ref="C25:C26"/>
    <mergeCell ref="D25:D26"/>
    <mergeCell ref="E25:E26"/>
    <mergeCell ref="F25:F26"/>
    <mergeCell ref="B37:B38"/>
    <mergeCell ref="C37:C38"/>
    <mergeCell ref="D37:D38"/>
    <mergeCell ref="E37:E38"/>
    <mergeCell ref="F37:F38"/>
    <mergeCell ref="B31:B32"/>
    <mergeCell ref="C31:C32"/>
    <mergeCell ref="D31:D32"/>
    <mergeCell ref="E31:E32"/>
    <mergeCell ref="F31:F32"/>
    <mergeCell ref="B49:B50"/>
    <mergeCell ref="C49:C50"/>
    <mergeCell ref="D49:D50"/>
    <mergeCell ref="E49:E50"/>
    <mergeCell ref="F49:F50"/>
    <mergeCell ref="B43:B44"/>
    <mergeCell ref="C43:C44"/>
    <mergeCell ref="D43:D44"/>
    <mergeCell ref="E43:E44"/>
    <mergeCell ref="F43:F44"/>
    <mergeCell ref="B61:B62"/>
    <mergeCell ref="C61:C62"/>
    <mergeCell ref="D61:D62"/>
    <mergeCell ref="E61:E62"/>
    <mergeCell ref="F61:F62"/>
    <mergeCell ref="B55:B56"/>
    <mergeCell ref="C55:C56"/>
    <mergeCell ref="D55:D56"/>
    <mergeCell ref="E55:E56"/>
    <mergeCell ref="F55:F56"/>
    <mergeCell ref="F67:F68"/>
    <mergeCell ref="B73:B74"/>
    <mergeCell ref="C73:C74"/>
    <mergeCell ref="D73:D74"/>
    <mergeCell ref="E73:E74"/>
    <mergeCell ref="F73:F74"/>
    <mergeCell ref="A87:A90"/>
    <mergeCell ref="B67:B68"/>
    <mergeCell ref="C67:C68"/>
    <mergeCell ref="D67:D68"/>
    <mergeCell ref="E67:E68"/>
    <mergeCell ref="I87:I90"/>
    <mergeCell ref="J87:J90"/>
    <mergeCell ref="B100:C100"/>
    <mergeCell ref="B101:C101"/>
    <mergeCell ref="B79:B80"/>
    <mergeCell ref="C79:C80"/>
    <mergeCell ref="D79:D80"/>
    <mergeCell ref="E79:E80"/>
    <mergeCell ref="F79:F80"/>
    <mergeCell ref="B102:C102"/>
    <mergeCell ref="B103:C103"/>
    <mergeCell ref="B104:C104"/>
    <mergeCell ref="G87:G90"/>
    <mergeCell ref="H87:H9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19 octobre 2026 au 22 janvier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Jamil Gammoudi</dc:creator>
  <cp:keywords/>
  <dc:description/>
  <cp:lastModifiedBy>Jamil Gammoudi</cp:lastModifiedBy>
  <cp:revision/>
  <dcterms:created xsi:type="dcterms:W3CDTF">2026-06-03T23:32:17Z</dcterms:created>
  <dcterms:modified xsi:type="dcterms:W3CDTF">2026-10-01T14:31:42Z</dcterms:modified>
  <cp:category/>
  <cp:contentStatus/>
</cp:coreProperties>
</file>